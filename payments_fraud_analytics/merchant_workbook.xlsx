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5"/>
    <sheet state="visible" name="Pivot_Summary" sheetId="2" r:id="rId6"/>
    <sheet state="visible" name="Merchant_Unique_Days" sheetId="3" r:id="rId7"/>
    <sheet state="visible" name="Documentation" sheetId="4" r:id="rId8"/>
    <sheet state="visible" name="Merchant_Daily" sheetId="5" r:id="rId9"/>
    <sheet state="visible" name="Fee_Lookup" sheetId="6" r:id="rId10"/>
    <sheet state="visible" name="Merchants" sheetId="7" r:id="rId11"/>
  </sheets>
  <definedNames/>
  <calcPr/>
  <pivotCaches>
    <pivotCache cacheId="0" r:id="rId12"/>
    <pivotCache cacheId="1" r:id="rId13"/>
  </pivotCaches>
</workbook>
</file>

<file path=xl/sharedStrings.xml><?xml version="1.0" encoding="utf-8"?>
<sst xmlns="http://schemas.openxmlformats.org/spreadsheetml/2006/main" count="2380" uniqueCount="1119">
  <si>
    <t>Workbook Documentation</t>
  </si>
  <si>
    <t>transaction_id</t>
  </si>
  <si>
    <t>merchant_id</t>
  </si>
  <si>
    <t>High-Value Merchant Day Rule</t>
  </si>
  <si>
    <t>A transaction is classified as "High-Value Merchant Day" when the merchant's total transaction value for that calendar day exceeds INR 5,000 AND the merchant's region is not East.</t>
  </si>
  <si>
    <t>total_transaction_count</t>
  </si>
  <si>
    <t>unique_days_transacted</t>
  </si>
  <si>
    <t>Illustrative Payment Fee Assumptions</t>
  </si>
  <si>
    <t>user_id</t>
  </si>
  <si>
    <t>UPI = 0.00%, Wallet = 0.50%, Card = 1.00%, Netbanking = 1.50%.</t>
  </si>
  <si>
    <t>Lookup Error Handling</t>
  </si>
  <si>
    <t>transaction_time</t>
  </si>
  <si>
    <t>amount_inr</t>
  </si>
  <si>
    <t>Merchant VLOOKUP formulas use IFERROR and return "Merchant not found" when merchant_id does not match the merchant reference table.</t>
  </si>
  <si>
    <t>payment_method</t>
  </si>
  <si>
    <t>status</t>
  </si>
  <si>
    <t>risk_score</t>
  </si>
  <si>
    <t>merchant_name</t>
  </si>
  <si>
    <t>category</t>
  </si>
  <si>
    <t>region</t>
  </si>
  <si>
    <t>illustrative_fee_pct</t>
  </si>
  <si>
    <t>transaction_date</t>
  </si>
  <si>
    <t>merchant_day_key</t>
  </si>
  <si>
    <t>merchant_daily_total_inr</t>
  </si>
  <si>
    <t>merchant_day_classification</t>
  </si>
  <si>
    <t>TXN100000</t>
  </si>
  <si>
    <t>Wallet</t>
  </si>
  <si>
    <t>captured</t>
  </si>
  <si>
    <t>SUM of amount_inr</t>
  </si>
  <si>
    <t>COUNTA of transaction_id</t>
  </si>
  <si>
    <t>failed</t>
  </si>
  <si>
    <t>1 Total</t>
  </si>
  <si>
    <t>2 Total</t>
  </si>
  <si>
    <t>TXN100001</t>
  </si>
  <si>
    <t>chargeback</t>
  </si>
  <si>
    <t>UPI</t>
  </si>
  <si>
    <t>3 Total</t>
  </si>
  <si>
    <t>4 Total</t>
  </si>
  <si>
    <t>5 Total</t>
  </si>
  <si>
    <t>6 Total</t>
  </si>
  <si>
    <t>7 Total</t>
  </si>
  <si>
    <t>8 Total</t>
  </si>
  <si>
    <t>9 Total</t>
  </si>
  <si>
    <t>Payment Method</t>
  </si>
  <si>
    <t>10 Total</t>
  </si>
  <si>
    <t>TXN100002</t>
  </si>
  <si>
    <t>Card</t>
  </si>
  <si>
    <t>Netbanking</t>
  </si>
  <si>
    <t>Illustrative Fee %</t>
  </si>
  <si>
    <t>11 Total</t>
  </si>
  <si>
    <t>Fee percentages above are illustrative assumptions used only to demonstrate HLOOKUP functionality.</t>
  </si>
  <si>
    <t>12 Total</t>
  </si>
  <si>
    <t>1|2026-01-05</t>
  </si>
  <si>
    <t>13 Total</t>
  </si>
  <si>
    <t>1|2026-01-06</t>
  </si>
  <si>
    <t>1|2026-01-09</t>
  </si>
  <si>
    <t>1|2026-01-11</t>
  </si>
  <si>
    <t>14 Total</t>
  </si>
  <si>
    <t>1|2026-01-12</t>
  </si>
  <si>
    <t>1|2026-01-17</t>
  </si>
  <si>
    <t>1|2026-01-23</t>
  </si>
  <si>
    <t>10|2026-01-05</t>
  </si>
  <si>
    <t>15 Total</t>
  </si>
  <si>
    <t>10|2026-01-08</t>
  </si>
  <si>
    <t>10|2026-01-11</t>
  </si>
  <si>
    <t>10|2026-01-12</t>
  </si>
  <si>
    <t>16 Total</t>
  </si>
  <si>
    <t>10|2026-01-13</t>
  </si>
  <si>
    <t>10|2026-01-14</t>
  </si>
  <si>
    <t>10|2026-01-15</t>
  </si>
  <si>
    <t>TXN100003</t>
  </si>
  <si>
    <t>17 Total</t>
  </si>
  <si>
    <t>10|2026-01-16</t>
  </si>
  <si>
    <t>10|2026-01-19</t>
  </si>
  <si>
    <t>18 Total</t>
  </si>
  <si>
    <t>10|2026-01-20</t>
  </si>
  <si>
    <t>10|2026-01-21</t>
  </si>
  <si>
    <t>10|2026-01-29</t>
  </si>
  <si>
    <t>11|2026-01-04</t>
  </si>
  <si>
    <t>11|2026-01-06</t>
  </si>
  <si>
    <t>19 Total</t>
  </si>
  <si>
    <t>11|2026-01-07</t>
  </si>
  <si>
    <t>11|2026-01-11</t>
  </si>
  <si>
    <t>11|2026-01-18</t>
  </si>
  <si>
    <t>20 Total</t>
  </si>
  <si>
    <t>11|2026-01-20</t>
  </si>
  <si>
    <t>11|2026-01-21</t>
  </si>
  <si>
    <t>11|2026-01-24</t>
  </si>
  <si>
    <t>11|2026-01-29</t>
  </si>
  <si>
    <t>21 Total</t>
  </si>
  <si>
    <t>12|2026-01-01</t>
  </si>
  <si>
    <t>12|2026-01-09</t>
  </si>
  <si>
    <t>12|2026-01-12</t>
  </si>
  <si>
    <t>22 Total</t>
  </si>
  <si>
    <t>12|2026-01-14</t>
  </si>
  <si>
    <t>12|2026-01-18</t>
  </si>
  <si>
    <t>12|2026-01-22</t>
  </si>
  <si>
    <t>12|2026-01-23</t>
  </si>
  <si>
    <t>23 Total</t>
  </si>
  <si>
    <t>12|2026-01-27</t>
  </si>
  <si>
    <t>12|2026-01-30</t>
  </si>
  <si>
    <t>13|2026-01-08</t>
  </si>
  <si>
    <t>13|2026-01-09</t>
  </si>
  <si>
    <t>TXN100004</t>
  </si>
  <si>
    <t>13|2026-01-10</t>
  </si>
  <si>
    <t>13|2026-01-14</t>
  </si>
  <si>
    <t>24 Total</t>
  </si>
  <si>
    <t>13|2026-01-15</t>
  </si>
  <si>
    <t>13|2026-01-20</t>
  </si>
  <si>
    <t>13|2026-01-21</t>
  </si>
  <si>
    <t>25 Total</t>
  </si>
  <si>
    <t>13|2026-01-24</t>
  </si>
  <si>
    <t>13|2026-01-26</t>
  </si>
  <si>
    <t>13|2026-01-27</t>
  </si>
  <si>
    <t>26 Total</t>
  </si>
  <si>
    <t>13|2026-01-28</t>
  </si>
  <si>
    <t>14|2026-01-01</t>
  </si>
  <si>
    <t>14|2026-01-02</t>
  </si>
  <si>
    <t>14|2026-01-03</t>
  </si>
  <si>
    <t>14|2026-01-04</t>
  </si>
  <si>
    <t>27 Total</t>
  </si>
  <si>
    <t>14|2026-01-05</t>
  </si>
  <si>
    <t>14|2026-01-07</t>
  </si>
  <si>
    <t>14|2026-01-08</t>
  </si>
  <si>
    <t>14|2026-01-18</t>
  </si>
  <si>
    <t>14|2026-01-19</t>
  </si>
  <si>
    <t>28 Total</t>
  </si>
  <si>
    <t>14|2026-01-20</t>
  </si>
  <si>
    <t>14|2026-01-25</t>
  </si>
  <si>
    <t>15|2026-01-01</t>
  </si>
  <si>
    <t>15|2026-01-07</t>
  </si>
  <si>
    <t>15|2026-01-10</t>
  </si>
  <si>
    <t>29 Total</t>
  </si>
  <si>
    <t>15|2026-01-13</t>
  </si>
  <si>
    <t>TXN100005</t>
  </si>
  <si>
    <t>15|2026-01-14</t>
  </si>
  <si>
    <t>15|2026-01-19</t>
  </si>
  <si>
    <t>30 Total</t>
  </si>
  <si>
    <t>15|2026-01-24</t>
  </si>
  <si>
    <t>15|2026-01-26</t>
  </si>
  <si>
    <t>15|2026-01-27</t>
  </si>
  <si>
    <t>15|2026-01-29</t>
  </si>
  <si>
    <t>16|2026-01-02</t>
  </si>
  <si>
    <t>31 Total</t>
  </si>
  <si>
    <t>16|2026-01-03</t>
  </si>
  <si>
    <t>16|2026-01-04</t>
  </si>
  <si>
    <t>16|2026-01-05</t>
  </si>
  <si>
    <t>16|2026-01-11</t>
  </si>
  <si>
    <t>16|2026-01-15</t>
  </si>
  <si>
    <t>32 Total</t>
  </si>
  <si>
    <t>Merchant_001</t>
  </si>
  <si>
    <t>ecommerce</t>
  </si>
  <si>
    <t>South</t>
  </si>
  <si>
    <t>16|2026-01-18</t>
  </si>
  <si>
    <t>Merchant_002</t>
  </si>
  <si>
    <t>grocery</t>
  </si>
  <si>
    <t>West</t>
  </si>
  <si>
    <t>16|2026-01-20</t>
  </si>
  <si>
    <t>Merchant_003</t>
  </si>
  <si>
    <t>East</t>
  </si>
  <si>
    <t>16|2026-01-23</t>
  </si>
  <si>
    <t>Merchant_004</t>
  </si>
  <si>
    <t>16|2026-01-24</t>
  </si>
  <si>
    <t>33 Total</t>
  </si>
  <si>
    <t>Merchant_005</t>
  </si>
  <si>
    <t>recharge</t>
  </si>
  <si>
    <t>16|2026-01-25</t>
  </si>
  <si>
    <t>Merchant_006</t>
  </si>
  <si>
    <t>food_delivery</t>
  </si>
  <si>
    <t>16|2026-01-27</t>
  </si>
  <si>
    <t>Merchant_007</t>
  </si>
  <si>
    <t>Merchant_008</t>
  </si>
  <si>
    <t>16|2026-01-28</t>
  </si>
  <si>
    <t>North</t>
  </si>
  <si>
    <t>34 Total</t>
  </si>
  <si>
    <t>Merchant_009</t>
  </si>
  <si>
    <t>16|2026-01-29</t>
  </si>
  <si>
    <t>Merchant_010</t>
  </si>
  <si>
    <t>16|2026-01-30</t>
  </si>
  <si>
    <t>Merchant_011</t>
  </si>
  <si>
    <t>17|2026-01-01</t>
  </si>
  <si>
    <t>Merchant_012</t>
  </si>
  <si>
    <t>35 Total</t>
  </si>
  <si>
    <t>17|2026-01-02</t>
  </si>
  <si>
    <t>Merchant_013</t>
  </si>
  <si>
    <t>travel</t>
  </si>
  <si>
    <t>17|2026-01-03</t>
  </si>
  <si>
    <t>Merchant_014</t>
  </si>
  <si>
    <t>TXN100006</t>
  </si>
  <si>
    <t>17|2026-01-11</t>
  </si>
  <si>
    <t>Merchant_015</t>
  </si>
  <si>
    <t>36 Total</t>
  </si>
  <si>
    <t>Merchant_016</t>
  </si>
  <si>
    <t>17|2026-01-12</t>
  </si>
  <si>
    <t>bill_payment</t>
  </si>
  <si>
    <t>Merchant_017</t>
  </si>
  <si>
    <t>17|2026-01-17</t>
  </si>
  <si>
    <t>Merchant_018</t>
  </si>
  <si>
    <t>17|2026-01-18</t>
  </si>
  <si>
    <t>Merchant_019</t>
  </si>
  <si>
    <t>17|2026-01-19</t>
  </si>
  <si>
    <t>Merchant_020</t>
  </si>
  <si>
    <t>37 Total</t>
  </si>
  <si>
    <t>Merchant_021</t>
  </si>
  <si>
    <t>17|2026-01-28</t>
  </si>
  <si>
    <t>Merchant_022</t>
  </si>
  <si>
    <t>17|2026-01-30</t>
  </si>
  <si>
    <t>Merchant_023</t>
  </si>
  <si>
    <t>18|2026-01-06</t>
  </si>
  <si>
    <t>Merchant_024</t>
  </si>
  <si>
    <t>18|2026-01-11</t>
  </si>
  <si>
    <t>Merchant_025</t>
  </si>
  <si>
    <t>18|2026-01-12</t>
  </si>
  <si>
    <t>Merchant_026</t>
  </si>
  <si>
    <t>Merchant_027</t>
  </si>
  <si>
    <t>18|2026-01-14</t>
  </si>
  <si>
    <t>Merchant_028</t>
  </si>
  <si>
    <t>18|2026-01-15</t>
  </si>
  <si>
    <t>Merchant_029</t>
  </si>
  <si>
    <t>18|2026-01-16</t>
  </si>
  <si>
    <t>Merchant_030</t>
  </si>
  <si>
    <t>18|2026-01-18</t>
  </si>
  <si>
    <t>Merchant_031</t>
  </si>
  <si>
    <t>38 Total</t>
  </si>
  <si>
    <t>18|2026-01-20</t>
  </si>
  <si>
    <t>Merchant_032</t>
  </si>
  <si>
    <t>18|2026-01-25</t>
  </si>
  <si>
    <t>Merchant_033</t>
  </si>
  <si>
    <t>Merchant_034</t>
  </si>
  <si>
    <t>19|2026-01-02</t>
  </si>
  <si>
    <t>Merchant_035</t>
  </si>
  <si>
    <t>19|2026-01-06</t>
  </si>
  <si>
    <t>Merchant_036</t>
  </si>
  <si>
    <t>entertainment</t>
  </si>
  <si>
    <t>19|2026-01-09</t>
  </si>
  <si>
    <t>39 Total</t>
  </si>
  <si>
    <t>Merchant_037</t>
  </si>
  <si>
    <t>19|2026-01-10</t>
  </si>
  <si>
    <t>Merchant_038</t>
  </si>
  <si>
    <t>19|2026-01-15</t>
  </si>
  <si>
    <t>Merchant_039</t>
  </si>
  <si>
    <t>19|2026-01-16</t>
  </si>
  <si>
    <t>Merchant_040</t>
  </si>
  <si>
    <t>19|2026-01-19</t>
  </si>
  <si>
    <t>TXN100007</t>
  </si>
  <si>
    <t>40 Total</t>
  </si>
  <si>
    <t>19|2026-01-20</t>
  </si>
  <si>
    <t>19|2026-01-22</t>
  </si>
  <si>
    <t>Grand Total</t>
  </si>
  <si>
    <t>19|2026-01-24</t>
  </si>
  <si>
    <t>19|2026-01-25</t>
  </si>
  <si>
    <t>19|2026-01-26</t>
  </si>
  <si>
    <t>2|2026-01-07</t>
  </si>
  <si>
    <t>2|2026-01-08</t>
  </si>
  <si>
    <t>2|2026-01-12</t>
  </si>
  <si>
    <t>2|2026-01-13</t>
  </si>
  <si>
    <t>2|2026-01-15</t>
  </si>
  <si>
    <t>2|2026-01-19</t>
  </si>
  <si>
    <t>2|2026-01-22</t>
  </si>
  <si>
    <t>2|2026-01-26</t>
  </si>
  <si>
    <t>2|2026-01-30</t>
  </si>
  <si>
    <t>20|2026-01-02</t>
  </si>
  <si>
    <t>20|2026-01-03</t>
  </si>
  <si>
    <t>20|2026-01-04</t>
  </si>
  <si>
    <t>20|2026-01-10</t>
  </si>
  <si>
    <t>20|2026-01-21</t>
  </si>
  <si>
    <t>20|2026-01-23</t>
  </si>
  <si>
    <t>20|2026-01-24</t>
  </si>
  <si>
    <t>20|2026-01-29</t>
  </si>
  <si>
    <t>21|2026-01-01</t>
  </si>
  <si>
    <t>21|2026-01-05</t>
  </si>
  <si>
    <t>21|2026-01-09</t>
  </si>
  <si>
    <t>21|2026-01-14</t>
  </si>
  <si>
    <t>TXN100008</t>
  </si>
  <si>
    <t>21|2026-01-15</t>
  </si>
  <si>
    <t>21|2026-01-16</t>
  </si>
  <si>
    <t>21|2026-01-18</t>
  </si>
  <si>
    <t>21|2026-01-19</t>
  </si>
  <si>
    <t>21|2026-01-20</t>
  </si>
  <si>
    <t>21|2026-01-21</t>
  </si>
  <si>
    <t>21|2026-01-25</t>
  </si>
  <si>
    <t>21|2026-01-26</t>
  </si>
  <si>
    <t>21|2026-01-27</t>
  </si>
  <si>
    <t>22|2026-01-01</t>
  </si>
  <si>
    <t>22|2026-01-05</t>
  </si>
  <si>
    <t>22|2026-01-07</t>
  </si>
  <si>
    <t>22|2026-01-10</t>
  </si>
  <si>
    <t>22|2026-01-11</t>
  </si>
  <si>
    <t>22|2026-01-12</t>
  </si>
  <si>
    <t>22|2026-01-13</t>
  </si>
  <si>
    <t>22|2026-01-14</t>
  </si>
  <si>
    <t>22|2026-01-17</t>
  </si>
  <si>
    <t>22|2026-01-23</t>
  </si>
  <si>
    <t>22|2026-01-29</t>
  </si>
  <si>
    <t>23|2026-01-08</t>
  </si>
  <si>
    <t>23|2026-01-09</t>
  </si>
  <si>
    <t>23|2026-01-12</t>
  </si>
  <si>
    <t>23|2026-01-17</t>
  </si>
  <si>
    <t>23|2026-01-18</t>
  </si>
  <si>
    <t>23|2026-01-22</t>
  </si>
  <si>
    <t>23|2026-01-23</t>
  </si>
  <si>
    <t>23|2026-01-26</t>
  </si>
  <si>
    <t>24|2026-01-03</t>
  </si>
  <si>
    <t>24|2026-01-04</t>
  </si>
  <si>
    <t>24|2026-01-07</t>
  </si>
  <si>
    <t>24|2026-01-11</t>
  </si>
  <si>
    <t>24|2026-01-12</t>
  </si>
  <si>
    <t>TXN100009</t>
  </si>
  <si>
    <t>24|2026-01-14</t>
  </si>
  <si>
    <t>24|2026-01-20</t>
  </si>
  <si>
    <t>24|2026-01-21</t>
  </si>
  <si>
    <t>24|2026-01-22</t>
  </si>
  <si>
    <t>24|2026-01-24</t>
  </si>
  <si>
    <t>24|2026-01-26</t>
  </si>
  <si>
    <t>25|2026-01-02</t>
  </si>
  <si>
    <t>25|2026-01-05</t>
  </si>
  <si>
    <t>25|2026-01-06</t>
  </si>
  <si>
    <t>25|2026-01-11</t>
  </si>
  <si>
    <t>25|2026-01-13</t>
  </si>
  <si>
    <t>25|2026-01-15</t>
  </si>
  <si>
    <t>25|2026-01-16</t>
  </si>
  <si>
    <t>25|2026-01-19</t>
  </si>
  <si>
    <t>25|2026-01-24</t>
  </si>
  <si>
    <t>25|2026-01-28</t>
  </si>
  <si>
    <t>25|2026-01-29</t>
  </si>
  <si>
    <t>26|2026-01-02</t>
  </si>
  <si>
    <t>26|2026-01-03</t>
  </si>
  <si>
    <t>26|2026-01-06</t>
  </si>
  <si>
    <t>26|2026-01-10</t>
  </si>
  <si>
    <t>26|2026-01-12</t>
  </si>
  <si>
    <t>26|2026-01-14</t>
  </si>
  <si>
    <t>26|2026-01-22</t>
  </si>
  <si>
    <t>26|2026-01-23</t>
  </si>
  <si>
    <t>26|2026-01-28</t>
  </si>
  <si>
    <t>TXN100010</t>
  </si>
  <si>
    <t>26|2026-01-29</t>
  </si>
  <si>
    <t>26|2026-01-30</t>
  </si>
  <si>
    <t>27|2026-01-01</t>
  </si>
  <si>
    <t>27|2026-01-04</t>
  </si>
  <si>
    <t>27|2026-01-10</t>
  </si>
  <si>
    <t>27|2026-01-12</t>
  </si>
  <si>
    <t>27|2026-01-14</t>
  </si>
  <si>
    <t>27|2026-01-15</t>
  </si>
  <si>
    <t>27|2026-01-17</t>
  </si>
  <si>
    <t>27|2026-01-19</t>
  </si>
  <si>
    <t>27|2026-01-20</t>
  </si>
  <si>
    <t>27|2026-01-21</t>
  </si>
  <si>
    <t>27|2026-01-22</t>
  </si>
  <si>
    <t>27|2026-01-23</t>
  </si>
  <si>
    <t>27|2026-01-24</t>
  </si>
  <si>
    <t>28|2026-01-08</t>
  </si>
  <si>
    <t>28|2026-01-09</t>
  </si>
  <si>
    <t>28|2026-01-10</t>
  </si>
  <si>
    <t>28|2026-01-11</t>
  </si>
  <si>
    <t>28|2026-01-14</t>
  </si>
  <si>
    <t>28|2026-01-15</t>
  </si>
  <si>
    <t>28|2026-01-16</t>
  </si>
  <si>
    <t>28|2026-01-21</t>
  </si>
  <si>
    <t>TXN100011</t>
  </si>
  <si>
    <t>28|2026-01-22</t>
  </si>
  <si>
    <t>28|2026-01-30</t>
  </si>
  <si>
    <t>29|2026-01-04</t>
  </si>
  <si>
    <t>29|2026-01-05</t>
  </si>
  <si>
    <t>29|2026-01-08</t>
  </si>
  <si>
    <t>29|2026-01-09</t>
  </si>
  <si>
    <t>29|2026-01-12</t>
  </si>
  <si>
    <t>29|2026-01-14</t>
  </si>
  <si>
    <t>29|2026-01-15</t>
  </si>
  <si>
    <t>29|2026-01-17</t>
  </si>
  <si>
    <t>29|2026-01-19</t>
  </si>
  <si>
    <t>29|2026-01-20</t>
  </si>
  <si>
    <t>29|2026-01-25</t>
  </si>
  <si>
    <t>29|2026-01-27</t>
  </si>
  <si>
    <t>29|2026-01-28</t>
  </si>
  <si>
    <t>3|2026-01-03</t>
  </si>
  <si>
    <t>3|2026-01-05</t>
  </si>
  <si>
    <t>3|2026-01-06</t>
  </si>
  <si>
    <t>3|2026-01-07</t>
  </si>
  <si>
    <t>3|2026-01-08</t>
  </si>
  <si>
    <t>3|2026-01-13</t>
  </si>
  <si>
    <t>3|2026-01-16</t>
  </si>
  <si>
    <t>3|2026-01-20</t>
  </si>
  <si>
    <t>3|2026-01-22</t>
  </si>
  <si>
    <t>3|2026-01-23</t>
  </si>
  <si>
    <t>3|2026-01-26</t>
  </si>
  <si>
    <t>TXN100012</t>
  </si>
  <si>
    <t>3|2026-01-29</t>
  </si>
  <si>
    <t>3|2026-01-30</t>
  </si>
  <si>
    <t>30|2026-01-03</t>
  </si>
  <si>
    <t>30|2026-01-08</t>
  </si>
  <si>
    <t>30|2026-01-09</t>
  </si>
  <si>
    <t>30|2026-01-12</t>
  </si>
  <si>
    <t>30|2026-01-13</t>
  </si>
  <si>
    <t>30|2026-01-14</t>
  </si>
  <si>
    <t>30|2026-01-15</t>
  </si>
  <si>
    <t>30|2026-01-17</t>
  </si>
  <si>
    <t>30|2026-01-18</t>
  </si>
  <si>
    <t>30|2026-01-26</t>
  </si>
  <si>
    <t>30|2026-01-28</t>
  </si>
  <si>
    <t>30|2026-01-29</t>
  </si>
  <si>
    <t>30|2026-01-30</t>
  </si>
  <si>
    <t>31|2026-01-05</t>
  </si>
  <si>
    <t>31|2026-01-07</t>
  </si>
  <si>
    <t>31|2026-01-09</t>
  </si>
  <si>
    <t>31|2026-01-10</t>
  </si>
  <si>
    <t>31|2026-01-12</t>
  </si>
  <si>
    <t>31|2026-01-13</t>
  </si>
  <si>
    <t>31|2026-01-14</t>
  </si>
  <si>
    <t>31|2026-01-15</t>
  </si>
  <si>
    <t>31|2026-01-16</t>
  </si>
  <si>
    <t>31|2026-01-18</t>
  </si>
  <si>
    <t>TXN100013</t>
  </si>
  <si>
    <t>31|2026-01-21</t>
  </si>
  <si>
    <t>31|2026-01-22</t>
  </si>
  <si>
    <t>31|2026-01-28</t>
  </si>
  <si>
    <t>31|2026-01-29</t>
  </si>
  <si>
    <t>32|2026-01-03</t>
  </si>
  <si>
    <t>32|2026-01-04</t>
  </si>
  <si>
    <t>32|2026-01-06</t>
  </si>
  <si>
    <t>32|2026-01-09</t>
  </si>
  <si>
    <t>32|2026-01-13</t>
  </si>
  <si>
    <t>32|2026-01-15</t>
  </si>
  <si>
    <t>32|2026-01-18</t>
  </si>
  <si>
    <t>32|2026-01-21</t>
  </si>
  <si>
    <t>32|2026-01-24</t>
  </si>
  <si>
    <t>32|2026-01-25</t>
  </si>
  <si>
    <t>32|2026-01-27</t>
  </si>
  <si>
    <t>32|2026-01-28</t>
  </si>
  <si>
    <t>33|2026-01-03</t>
  </si>
  <si>
    <t>33|2026-01-04</t>
  </si>
  <si>
    <t>33|2026-01-12</t>
  </si>
  <si>
    <t>33|2026-01-15</t>
  </si>
  <si>
    <t>33|2026-01-20</t>
  </si>
  <si>
    <t>33|2026-01-21</t>
  </si>
  <si>
    <t>33|2026-01-22</t>
  </si>
  <si>
    <t>33|2026-01-23</t>
  </si>
  <si>
    <t>TXN100014</t>
  </si>
  <si>
    <t>33|2026-01-24</t>
  </si>
  <si>
    <t>33|2026-01-25</t>
  </si>
  <si>
    <t>34|2026-01-02</t>
  </si>
  <si>
    <t>34|2026-01-05</t>
  </si>
  <si>
    <t>34|2026-01-09</t>
  </si>
  <si>
    <t>34|2026-01-10</t>
  </si>
  <si>
    <t>34|2026-01-12</t>
  </si>
  <si>
    <t>34|2026-01-17</t>
  </si>
  <si>
    <t>34|2026-01-18</t>
  </si>
  <si>
    <t>34|2026-01-19</t>
  </si>
  <si>
    <t>34|2026-01-21</t>
  </si>
  <si>
    <t>34|2026-01-22</t>
  </si>
  <si>
    <t>34|2026-01-23</t>
  </si>
  <si>
    <t>34|2026-01-24</t>
  </si>
  <si>
    <t>35|2026-01-01</t>
  </si>
  <si>
    <t>35|2026-01-02</t>
  </si>
  <si>
    <t>35|2026-01-11</t>
  </si>
  <si>
    <t>35|2026-01-12</t>
  </si>
  <si>
    <t>35|2026-01-13</t>
  </si>
  <si>
    <t>35|2026-01-21</t>
  </si>
  <si>
    <t>35|2026-01-22</t>
  </si>
  <si>
    <t>35|2026-01-24</t>
  </si>
  <si>
    <t>35|2026-01-26</t>
  </si>
  <si>
    <t>35|2026-01-28</t>
  </si>
  <si>
    <t>TXN100015</t>
  </si>
  <si>
    <t>35|2026-01-30</t>
  </si>
  <si>
    <t>36|2026-01-01</t>
  </si>
  <si>
    <t>36|2026-01-02</t>
  </si>
  <si>
    <t>36|2026-01-03</t>
  </si>
  <si>
    <t>36|2026-01-04</t>
  </si>
  <si>
    <t>36|2026-01-16</t>
  </si>
  <si>
    <t>36|2026-01-17</t>
  </si>
  <si>
    <t>36|2026-01-19</t>
  </si>
  <si>
    <t>36|2026-01-20</t>
  </si>
  <si>
    <t>36|2026-01-24</t>
  </si>
  <si>
    <t>36|2026-01-26</t>
  </si>
  <si>
    <t>36|2026-01-28</t>
  </si>
  <si>
    <t>36|2026-01-29</t>
  </si>
  <si>
    <t>37|2026-01-01</t>
  </si>
  <si>
    <t>37|2026-01-02</t>
  </si>
  <si>
    <t>37|2026-01-03</t>
  </si>
  <si>
    <t>37|2026-01-04</t>
  </si>
  <si>
    <t>37|2026-01-05</t>
  </si>
  <si>
    <t>37|2026-01-06</t>
  </si>
  <si>
    <t>37|2026-01-12</t>
  </si>
  <si>
    <t>37|2026-01-16</t>
  </si>
  <si>
    <t>37|2026-01-17</t>
  </si>
  <si>
    <t>37|2026-01-20</t>
  </si>
  <si>
    <t>37|2026-01-21</t>
  </si>
  <si>
    <t>37|2026-01-23</t>
  </si>
  <si>
    <t>37|2026-01-27</t>
  </si>
  <si>
    <t>37|2026-01-28</t>
  </si>
  <si>
    <t>37|2026-01-29</t>
  </si>
  <si>
    <t>37|2026-01-30</t>
  </si>
  <si>
    <t>TXN100016</t>
  </si>
  <si>
    <t>38|2026-01-05</t>
  </si>
  <si>
    <t>38|2026-01-06</t>
  </si>
  <si>
    <t>38|2026-01-09</t>
  </si>
  <si>
    <t>38|2026-01-10</t>
  </si>
  <si>
    <t>38|2026-01-15</t>
  </si>
  <si>
    <t>38|2026-01-22</t>
  </si>
  <si>
    <t>38|2026-01-23</t>
  </si>
  <si>
    <t>38|2026-01-28</t>
  </si>
  <si>
    <t>39|2026-01-02</t>
  </si>
  <si>
    <t>39|2026-01-05</t>
  </si>
  <si>
    <t>39|2026-01-09</t>
  </si>
  <si>
    <t>39|2026-01-10</t>
  </si>
  <si>
    <t>39|2026-01-16</t>
  </si>
  <si>
    <t>39|2026-01-17</t>
  </si>
  <si>
    <t>39|2026-01-18</t>
  </si>
  <si>
    <t>39|2026-01-22</t>
  </si>
  <si>
    <t>39|2026-01-23</t>
  </si>
  <si>
    <t>39|2026-01-29</t>
  </si>
  <si>
    <t>4|2026-01-02</t>
  </si>
  <si>
    <t>4|2026-01-12</t>
  </si>
  <si>
    <t>4|2026-01-13</t>
  </si>
  <si>
    <t>4|2026-01-16</t>
  </si>
  <si>
    <t>4|2026-01-17</t>
  </si>
  <si>
    <t>4|2026-01-24</t>
  </si>
  <si>
    <t>4|2026-01-25</t>
  </si>
  <si>
    <t>40|2026-01-01</t>
  </si>
  <si>
    <t>TXN100017</t>
  </si>
  <si>
    <t>40|2026-01-03</t>
  </si>
  <si>
    <t>40|2026-01-08</t>
  </si>
  <si>
    <t>40|2026-01-11</t>
  </si>
  <si>
    <t>40|2026-01-12</t>
  </si>
  <si>
    <t>40|2026-01-13</t>
  </si>
  <si>
    <t>40|2026-01-14</t>
  </si>
  <si>
    <t>40|2026-01-15</t>
  </si>
  <si>
    <t>40|2026-01-18</t>
  </si>
  <si>
    <t>40|2026-01-19</t>
  </si>
  <si>
    <t>40|2026-01-23</t>
  </si>
  <si>
    <t>40|2026-01-29</t>
  </si>
  <si>
    <t>40|2026-01-30</t>
  </si>
  <si>
    <t>5|2026-01-01</t>
  </si>
  <si>
    <t>5|2026-01-03</t>
  </si>
  <si>
    <t>5|2026-01-09</t>
  </si>
  <si>
    <t>5|2026-01-10</t>
  </si>
  <si>
    <t>5|2026-01-15</t>
  </si>
  <si>
    <t>5|2026-01-17</t>
  </si>
  <si>
    <t>5|2026-01-18</t>
  </si>
  <si>
    <t>5|2026-01-19</t>
  </si>
  <si>
    <t>5|2026-01-30</t>
  </si>
  <si>
    <t>6|2026-01-01</t>
  </si>
  <si>
    <t>6|2026-01-03</t>
  </si>
  <si>
    <t>6|2026-01-05</t>
  </si>
  <si>
    <t>TXN100018</t>
  </si>
  <si>
    <t>6|2026-01-08</t>
  </si>
  <si>
    <t>6|2026-01-09</t>
  </si>
  <si>
    <t>6|2026-01-11</t>
  </si>
  <si>
    <t>6|2026-01-13</t>
  </si>
  <si>
    <t>6|2026-01-15</t>
  </si>
  <si>
    <t>6|2026-01-17</t>
  </si>
  <si>
    <t>6|2026-01-19</t>
  </si>
  <si>
    <t>6|2026-01-21</t>
  </si>
  <si>
    <t>6|2026-01-26</t>
  </si>
  <si>
    <t>7|2026-01-02</t>
  </si>
  <si>
    <t>7|2026-01-03</t>
  </si>
  <si>
    <t>7|2026-01-05</t>
  </si>
  <si>
    <t>7|2026-01-08</t>
  </si>
  <si>
    <t>7|2026-01-10</t>
  </si>
  <si>
    <t>7|2026-01-15</t>
  </si>
  <si>
    <t>7|2026-01-17</t>
  </si>
  <si>
    <t>7|2026-01-21</t>
  </si>
  <si>
    <t>7|2026-01-24</t>
  </si>
  <si>
    <t>7|2026-01-25</t>
  </si>
  <si>
    <t>7|2026-01-30</t>
  </si>
  <si>
    <t>8|2026-01-02</t>
  </si>
  <si>
    <t>8|2026-01-03</t>
  </si>
  <si>
    <t>8|2026-01-06</t>
  </si>
  <si>
    <t>8|2026-01-08</t>
  </si>
  <si>
    <t>8|2026-01-11</t>
  </si>
  <si>
    <t>TXN100019</t>
  </si>
  <si>
    <t>8|2026-01-12</t>
  </si>
  <si>
    <t>8|2026-01-16</t>
  </si>
  <si>
    <t>8|2026-01-17</t>
  </si>
  <si>
    <t>8|2026-01-18</t>
  </si>
  <si>
    <t>8|2026-01-19</t>
  </si>
  <si>
    <t>8|2026-01-26</t>
  </si>
  <si>
    <t>8|2026-01-27</t>
  </si>
  <si>
    <t>8|2026-01-30</t>
  </si>
  <si>
    <t>9|2026-01-01</t>
  </si>
  <si>
    <t>9|2026-01-04</t>
  </si>
  <si>
    <t>9|2026-01-05</t>
  </si>
  <si>
    <t>9|2026-01-06</t>
  </si>
  <si>
    <t>9|2026-01-09</t>
  </si>
  <si>
    <t>9|2026-01-10</t>
  </si>
  <si>
    <t>9|2026-01-12</t>
  </si>
  <si>
    <t>9|2026-01-15</t>
  </si>
  <si>
    <t>9|2026-01-17</t>
  </si>
  <si>
    <t>9|2026-01-18</t>
  </si>
  <si>
    <t>9|2026-01-19</t>
  </si>
  <si>
    <t>9|2026-01-22</t>
  </si>
  <si>
    <t>9|2026-01-23</t>
  </si>
  <si>
    <t>9|2026-01-29</t>
  </si>
  <si>
    <t>TXN100020</t>
  </si>
  <si>
    <t>TXN100021</t>
  </si>
  <si>
    <t>TXN100022</t>
  </si>
  <si>
    <t>TXN100023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</si>
  <si>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</si>
  <si>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</si>
  <si>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</si>
  <si>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</si>
  <si>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</si>
  <si>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</si>
  <si>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</si>
  <si>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</si>
  <si>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</si>
  <si>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</si>
  <si>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</si>
  <si>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</si>
  <si>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</si>
  <si>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</si>
  <si>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</si>
  <si>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</si>
  <si>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</si>
  <si>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</si>
  <si>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</si>
  <si>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</si>
  <si>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</si>
  <si>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</si>
  <si>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</si>
  <si>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</si>
  <si>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</si>
  <si>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</si>
  <si>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</si>
  <si>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</si>
  <si>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</si>
  <si>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</si>
  <si>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</si>
  <si>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</si>
  <si>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</si>
  <si>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</si>
  <si>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</si>
  <si>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</si>
  <si>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</si>
  <si>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</si>
  <si>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</si>
  <si>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</si>
  <si>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</si>
  <si>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</si>
  <si>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</si>
  <si>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</si>
  <si>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</si>
  <si>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</si>
  <si>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</si>
  <si>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</si>
  <si>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</si>
  <si>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</si>
  <si>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</si>
  <si>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</si>
  <si>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</si>
  <si>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</si>
  <si>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</si>
  <si>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</si>
  <si>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</si>
  <si>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</si>
  <si>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</si>
  <si>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</si>
  <si>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</si>
  <si>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</si>
  <si>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</si>
  <si>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</si>
  <si>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</si>
  <si>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</si>
  <si>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</si>
  <si>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</si>
  <si>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</si>
  <si>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</si>
  <si>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</si>
  <si>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</si>
  <si>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</si>
  <si>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</si>
  <si>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</si>
  <si>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</si>
  <si>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</si>
  <si>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</si>
  <si>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</si>
  <si>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</si>
  <si>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</si>
  <si>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</si>
  <si>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</si>
  <si>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</si>
  <si>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</si>
  <si>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</si>
  <si>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</si>
  <si>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</si>
  <si>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</si>
  <si>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</si>
  <si>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</si>
  <si>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</si>
  <si>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</si>
  <si>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</si>
  <si>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</si>
  <si>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</si>
  <si>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</si>
  <si>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</si>
  <si>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</si>
  <si>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</si>
  <si>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</si>
  <si>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</si>
  <si>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</si>
  <si>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</si>
  <si>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</si>
  <si>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</si>
  <si>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</si>
  <si>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</si>
  <si>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</si>
  <si>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</si>
  <si>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</si>
  <si>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</si>
  <si>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</si>
  <si>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</si>
  <si>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</si>
  <si>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</si>
  <si>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</si>
  <si>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</si>
  <si>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</si>
  <si>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</si>
  <si>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</si>
  <si>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</si>
  <si>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</si>
  <si>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</si>
  <si>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</si>
  <si>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</si>
  <si>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</si>
  <si>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</si>
  <si>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</si>
  <si>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</si>
  <si>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</si>
  <si>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</si>
  <si>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</si>
  <si>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</si>
  <si>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</si>
  <si>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</si>
  <si>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</si>
  <si>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</si>
  <si>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</si>
  <si>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</si>
  <si>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</si>
  <si>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</si>
  <si>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</si>
  <si>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</si>
  <si>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</si>
  <si>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</si>
  <si>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</si>
  <si>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</si>
  <si>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</si>
  <si>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</si>
  <si>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</si>
  <si>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</si>
  <si>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</si>
  <si>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</si>
  <si>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</si>
  <si>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</si>
  <si>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</si>
  <si>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</si>
  <si>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</si>
  <si>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</si>
  <si>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</si>
  <si>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</si>
  <si>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</si>
  <si>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</si>
  <si>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</si>
  <si>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</si>
  <si>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</si>
  <si>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</si>
  <si>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</si>
  <si>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</si>
  <si>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</si>
  <si>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</si>
  <si>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</si>
  <si>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</si>
  <si>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</si>
  <si>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</si>
  <si>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</si>
  <si>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</si>
  <si>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</si>
  <si>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</si>
  <si>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</si>
  <si>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</si>
  <si>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</si>
  <si>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</si>
  <si>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</si>
  <si>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</si>
  <si>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</si>
  <si>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</si>
  <si>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</si>
  <si>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</si>
  <si>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</si>
  <si>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</si>
  <si>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</si>
  <si>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</si>
  <si>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</si>
  <si>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</si>
  <si>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</si>
  <si>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</si>
  <si>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</si>
  <si>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</si>
  <si>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</si>
  <si>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</si>
  <si>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</si>
  <si>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</si>
  <si>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</si>
  <si>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</si>
  <si>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</si>
  <si>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</si>
  <si>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</si>
  <si>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</si>
  <si>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</si>
  <si>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</si>
  <si>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</si>
  <si>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</si>
  <si>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</si>
  <si>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</si>
  <si>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</si>
  <si>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</si>
  <si>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</si>
  <si>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</si>
  <si>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</si>
  <si>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</si>
  <si>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</si>
  <si>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</si>
  <si>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</si>
  <si>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</si>
  <si>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</si>
  <si>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</si>
  <si>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</si>
  <si>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</si>
  <si>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</si>
  <si>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</si>
  <si>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</si>
  <si>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</si>
  <si>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</si>
  <si>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</si>
  <si>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</si>
  <si>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</si>
  <si>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</si>
  <si>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</si>
  <si>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</si>
  <si>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</si>
  <si>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</si>
  <si>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</si>
  <si>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</si>
  <si>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</si>
  <si>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</si>
  <si>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</si>
  <si>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</si>
  <si>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</si>
  <si>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</si>
  <si>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</si>
  <si>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</si>
  <si>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</si>
  <si>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</si>
  <si>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</si>
  <si>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</si>
  <si>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</si>
  <si>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</si>
  <si>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</si>
  <si>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</si>
  <si>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</si>
  <si>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</si>
  <si>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</si>
  <si>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</si>
  <si>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</si>
  <si>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</si>
  <si>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</si>
  <si>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</si>
  <si>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</si>
  <si>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</si>
  <si>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</si>
  <si>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</si>
  <si>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</si>
  <si>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</si>
  <si>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</si>
  <si>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</si>
  <si>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</si>
  <si>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</si>
  <si>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</si>
  <si>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</si>
  <si>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</si>
  <si>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</si>
  <si>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</si>
  <si>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</si>
  <si>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</si>
  <si>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</si>
  <si>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</si>
  <si>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</si>
  <si>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</si>
  <si>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</si>
  <si>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</si>
  <si>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</si>
  <si>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</si>
  <si>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</si>
  <si>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</si>
  <si>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</si>
  <si>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</si>
  <si>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</si>
  <si>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</si>
  <si>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</si>
  <si>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</si>
  <si>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</si>
  <si>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</si>
  <si>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</si>
  <si>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</si>
  <si>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</si>
  <si>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</si>
  <si>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</si>
  <si>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</si>
  <si>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</si>
  <si>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</si>
  <si>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</si>
  <si>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</si>
  <si>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</si>
  <si>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</si>
  <si>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</si>
  <si>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</si>
  <si>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</si>
  <si>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</si>
  <si>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</si>
  <si>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</si>
  <si>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</si>
  <si>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</si>
  <si>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</si>
  <si>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</si>
  <si>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</si>
  <si>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</si>
  <si>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</si>
  <si>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</si>
  <si>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</si>
  <si>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</si>
  <si>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</si>
  <si>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</si>
  <si>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</si>
  <si>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</si>
  <si>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</si>
  <si>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</si>
  <si>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</si>
  <si>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</si>
  <si>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</si>
  <si>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</si>
  <si>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</si>
  <si>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</si>
  <si>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</si>
  <si>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</si>
  <si>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</si>
  <si>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</si>
  <si>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</si>
  <si>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</si>
  <si>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</si>
  <si>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</si>
  <si>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</si>
  <si>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</si>
  <si>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</si>
  <si>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</si>
  <si>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</si>
  <si>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</si>
  <si>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</si>
  <si>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</si>
  <si>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</si>
  <si>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</si>
  <si>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</si>
  <si>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</si>
  <si>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</si>
  <si>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</si>
  <si>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</si>
  <si>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</si>
  <si>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</si>
  <si>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</si>
  <si>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</si>
  <si>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</si>
  <si>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</si>
  <si>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</si>
  <si>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</si>
  <si>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</si>
  <si>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</si>
  <si>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</si>
  <si>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</si>
  <si>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</si>
  <si>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</si>
  <si>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</si>
  <si>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</si>
  <si>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</si>
  <si>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</si>
  <si>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</si>
  <si>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</si>
  <si>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</si>
  <si>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</si>
  <si>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</si>
  <si>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</si>
  <si>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</si>
  <si>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</si>
  <si>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</si>
  <si>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</si>
  <si>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</si>
  <si>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</si>
  <si>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</si>
  <si>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</si>
  <si>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</si>
  <si>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</si>
  <si>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</si>
  <si>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</si>
  <si>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</si>
  <si>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</si>
  <si>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</si>
  <si>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</si>
  <si>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</si>
  <si>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</si>
  <si>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</si>
  <si>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</si>
  <si>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</si>
  <si>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</si>
  <si>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</si>
  <si>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</si>
  <si>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</si>
  <si>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</si>
  <si>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</si>
  <si>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</si>
  <si>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</si>
  <si>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</si>
  <si>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</si>
  <si>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</si>
  <si>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</si>
  <si>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</si>
  <si>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</si>
  <si>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</si>
  <si>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</si>
  <si>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</si>
  <si>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</si>
  <si>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</si>
  <si>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</si>
  <si>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</si>
  <si>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</si>
  <si>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</si>
  <si>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</si>
  <si>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</si>
  <si>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</si>
  <si>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</si>
  <si>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</si>
  <si>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</si>
  <si>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</si>
  <si>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</si>
  <si>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</si>
  <si>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</si>
  <si>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</si>
  <si>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</si>
  <si>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</si>
  <si>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</si>
  <si>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</si>
  <si>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</si>
  <si>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</si>
  <si>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</si>
  <si>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</si>
  <si>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</si>
  <si>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</si>
  <si>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</si>
  <si>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</si>
  <si>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</si>
  <si>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</si>
  <si>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</si>
  <si>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</si>
  <si>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</si>
  <si>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</si>
  <si>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</si>
  <si>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</si>
  <si>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</si>
  <si>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</si>
  <si>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</si>
  <si>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</si>
  <si>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</si>
  <si>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</si>
  <si>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</si>
  <si>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</si>
  <si>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</si>
  <si>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</si>
  <si>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TXN200000</t>
  </si>
  <si>
    <t>TXN200001</t>
  </si>
  <si>
    <t>TXN200002</t>
  </si>
  <si>
    <t>TXN200003</t>
  </si>
  <si>
    <t>TXN200004</t>
  </si>
  <si>
    <t>TXN200005</t>
  </si>
  <si>
    <t>TXN200006</t>
  </si>
  <si>
    <t>TXN200007</t>
  </si>
  <si>
    <t>TXN200008</t>
  </si>
  <si>
    <t>TXN200009</t>
  </si>
  <si>
    <t>TXN200010</t>
  </si>
  <si>
    <t>TXN200011</t>
  </si>
  <si>
    <t>TXN200012</t>
  </si>
  <si>
    <t>TXN200013</t>
  </si>
  <si>
    <t>TXN200014</t>
  </si>
  <si>
    <t>TXN300000</t>
  </si>
  <si>
    <t>TXN300001</t>
  </si>
  <si>
    <t>TXN300002</t>
  </si>
  <si>
    <t>TXN300003</t>
  </si>
  <si>
    <t>TXN300004</t>
  </si>
  <si>
    <t>TXN300005</t>
  </si>
  <si>
    <t>TXN300006</t>
  </si>
  <si>
    <t>TXN300007</t>
  </si>
  <si>
    <t>TXN300008</t>
  </si>
  <si>
    <t>TXN300009</t>
  </si>
  <si>
    <t>TXN300010</t>
  </si>
  <si>
    <t>TXN300011</t>
  </si>
  <si>
    <t>TXN300012</t>
  </si>
  <si>
    <t>TXN300013</t>
  </si>
  <si>
    <t>TXN300014</t>
  </si>
  <si>
    <t>TXN300015</t>
  </si>
  <si>
    <t>TXN300016</t>
  </si>
  <si>
    <t>TXN300017</t>
  </si>
  <si>
    <t>TXN300018</t>
  </si>
  <si>
    <t>TXN300019</t>
  </si>
  <si>
    <t>TXN300020</t>
  </si>
  <si>
    <t>TXN300021</t>
  </si>
  <si>
    <t>TXN300022</t>
  </si>
  <si>
    <t>TXN300023</t>
  </si>
  <si>
    <t>TXN300024</t>
  </si>
  <si>
    <t>TXN300025</t>
  </si>
  <si>
    <t>TXN300026</t>
  </si>
  <si>
    <t>TXN300027</t>
  </si>
  <si>
    <t>TXN300028</t>
  </si>
  <si>
    <t>TXN300029</t>
  </si>
  <si>
    <t>TXN300030</t>
  </si>
  <si>
    <t>TXN300031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</si>
</sst>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Font="1" applyNumberFormat="1"/>
    <xf borderId="0" fillId="0" fontId="2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548" sheet="Transactions"/>
  </cacheSource>
  <cacheFields>
    <cacheField name="transaction_id" numFmtId="0">
      <sharedItems>
        <s v="TXN100000"/>
        <s v="TXN100001"/>
        <s v="TXN100002"/>
        <s v="TXN100003"/>
        <s v="TXN100004"/>
        <s v="TXN100005"/>
        <s v="TXN100006"/>
        <s v="TXN100007"/>
        <s v="TXN100008"/>
        <s v="TXN100009"/>
        <s v="TXN100010"/>
        <s v="TXN100011"/>
        <s v="TXN100012"/>
        <s v="TXN100013"/>
        <s v="TXN100014"/>
        <s v="TXN100015"/>
        <s v="TXN100016"/>
        <s v="TXN100017"/>
        <s v="TXN100018"/>
        <s v="TXN100019"/>
        <s v="TXN100020"/>
        <s v="TXN100021"/>
        <s v="TXN100022"/>
        <s v="TXN100023"/>
        <s v="TXN100024"/>
        <s v="TXN100025"/>
        <s v="TXN100026"/>
        <s v="TXN100027"/>
        <s v="TXN100028"/>
        <s v="TXN100029"/>
        <s v="TXN100030"/>
        <s v="TXN100031"/>
        <s v="TXN100032"/>
        <s v="TXN100033"/>
        <s v="TXN100034"/>
        <s v="TXN100035"/>
        <s v="TXN100036"/>
        <s v="TXN100037"/>
        <s v="TXN100038"/>
        <s v="TXN100039"/>
        <s v="TXN100040"/>
        <s v="TXN100041"/>
        <s v="TXN100042"/>
        <s v="TXN100043"/>
        <s v="TXN100044"/>
        <s v="TXN100045"/>
        <s v="TXN100046"/>
        <s v="TXN100047"/>
        <s v="TXN100048"/>
        <s v="TXN100049"/>
        <s v="TXN100050"/>
        <s v="TXN100051"/>
        <s v="TXN100052"/>
        <s v="TXN100053"/>
        <s v="TXN100054"/>
        <s v="TXN100055"/>
        <s v="TXN100056"/>
        <s v="TXN100057"/>
        <s v="TXN100058"/>
        <s v="TXN100059"/>
        <s v="TXN100060"/>
        <s v="TXN100061"/>
        <s v="TXN100062"/>
        <s v="TXN100063"/>
        <s v="TXN100064"/>
        <s v="TXN100065"/>
        <s v="TXN100066"/>
        <s v="TXN100067"/>
        <s v="TXN100068"/>
        <s v="TXN100069"/>
        <s v="TXN100070"/>
        <s v="TXN100071"/>
        <s v="TXN100072"/>
        <s v="TXN100073"/>
        <s v="TXN100074"/>
        <s v="TXN100075"/>
        <s v="TXN100076"/>
        <s v="TXN100077"/>
        <s v="TXN100078"/>
        <s v="TXN100079"/>
        <s v="TXN100080"/>
        <s v="TXN100081"/>
        <s v="TXN100082"/>
        <s v="TXN100083"/>
        <s v="TXN100084"/>
        <s v="TXN100085"/>
        <s v="TXN100086"/>
        <s v="TXN100087"/>
        <s v="TXN100088"/>
        <s v="TXN100089"/>
        <s v="TXN100090"/>
        <s v="TXN100091"/>
        <s v="TXN100092"/>
        <s v="TXN100093"/>
        <s v="TXN100094"/>
        <s v="TXN100095"/>
        <s v="TXN100096"/>
        <s v="TXN100097"/>
        <s v="TXN100098"/>
        <s v="TXN100099"/>
        <s v="TXN100100"/>
        <s v="TXN100101"/>
        <s v="TXN100102"/>
        <s v="TXN100103"/>
        <s v="TXN100104"/>
        <s v="TXN100105"/>
        <s v="TXN100106"/>
        <s v="TXN100107"/>
        <s v="TXN100108"/>
        <s v="TXN100109"/>
        <s v="TXN100110"/>
        <s v="TXN100111"/>
        <s v="TXN100112"/>
        <s v="TXN100113"/>
        <s v="TXN100114"/>
        <s v="TXN100115"/>
        <s v="TXN100116"/>
        <s v="TXN100117"/>
        <s v="TXN100118"/>
        <s v="TXN100119"/>
        <s v="TXN100120"/>
        <s v="TXN100121"/>
        <s v="TXN100122"/>
        <s v="TXN100123"/>
        <s v="TXN100124"/>
        <s v="TXN100125"/>
        <s v="TXN100126"/>
        <s v="TXN100127"/>
        <s v="TXN100128"/>
        <s v="TXN100129"/>
        <s v="TXN100130"/>
        <s v="TXN100131"/>
        <s v="TXN100132"/>
        <s v="TXN100133"/>
        <s v="TXN100134"/>
        <s v="TXN100135"/>
        <s v="TXN100136"/>
        <s v="TXN100137"/>
        <s v="TXN100138"/>
        <s v="TXN100139"/>
        <s v="TXN100140"/>
        <s v="TXN100141"/>
        <s v="TXN100142"/>
        <s v="TXN100143"/>
        <s v="TXN100144"/>
        <s v="TXN100145"/>
        <s v="TXN100146"/>
        <s v="TXN100147"/>
        <s v="TXN100148"/>
        <s v="TXN100149"/>
        <s v="TXN100150"/>
        <s v="TXN100151"/>
        <s v="TXN100152"/>
        <s v="TXN100153"/>
        <s v="TXN100154"/>
        <s v="TXN100155"/>
        <s v="TXN100156"/>
        <s v="TXN100157"/>
        <s v="TXN100158"/>
        <s v="TXN100159"/>
        <s v="TXN100160"/>
        <s v="TXN100161"/>
        <s v="TXN100162"/>
        <s v="TXN100163"/>
        <s v="TXN100164"/>
        <s v="TXN100165"/>
        <s v="TXN100166"/>
        <s v="TXN100167"/>
        <s v="TXN100168"/>
        <s v="TXN100169"/>
        <s v="TXN100170"/>
        <s v="TXN100171"/>
        <s v="TXN100172"/>
        <s v="TXN100173"/>
        <s v="TXN100174"/>
        <s v="TXN100175"/>
        <s v="TXN100176"/>
        <s v="TXN100177"/>
        <s v="TXN100178"/>
        <s v="TXN100179"/>
        <s v="TXN100180"/>
        <s v="TXN100181"/>
        <s v="TXN100182"/>
        <s v="TXN100183"/>
        <s v="TXN100184"/>
        <s v="TXN100185"/>
        <s v="TXN100186"/>
        <s v="TXN100187"/>
        <s v="TXN100188"/>
        <s v="TXN100189"/>
        <s v="TXN100190"/>
        <s v="TXN100191"/>
        <s v="TXN100192"/>
        <s v="TXN100193"/>
        <s v="TXN100194"/>
        <s v="TXN100195"/>
        <s v="TXN100196"/>
        <s v="TXN100197"/>
        <s v="TXN100198"/>
        <s v="TXN100199"/>
        <s v="TXN100200"/>
        <s v="TXN100201"/>
        <s v="TXN100202"/>
        <s v="TXN100203"/>
        <s v="TXN100204"/>
        <s v="TXN100205"/>
        <s v="TXN100206"/>
        <s v="TXN100207"/>
        <s v="TXN100208"/>
        <s v="TXN100209"/>
        <s v="TXN100210"/>
        <s v="TXN100211"/>
        <s v="TXN100212"/>
        <s v="TXN100213"/>
        <s v="TXN100214"/>
        <s v="TXN100215"/>
        <s v="TXN100216"/>
        <s v="TXN100217"/>
        <s v="TXN100218"/>
        <s v="TXN100219"/>
        <s v="TXN100220"/>
        <s v="TXN100221"/>
        <s v="TXN100222"/>
        <s v="TXN100223"/>
        <s v="TXN100224"/>
        <s v="TXN100225"/>
        <s v="TXN100226"/>
        <s v="TXN100227"/>
        <s v="TXN100228"/>
        <s v="TXN100229"/>
        <s v="TXN100230"/>
        <s v="TXN100231"/>
        <s v="TXN100232"/>
        <s v="TXN100233"/>
        <s v="TXN100234"/>
        <s v="TXN100235"/>
        <s v="TXN100236"/>
        <s v="TXN100237"/>
        <s v="TXN100238"/>
        <s v="TXN100239"/>
        <s v="TXN100240"/>
        <s v="TXN100241"/>
        <s v="TXN100242"/>
        <s v="TXN100243"/>
        <s v="TXN100244"/>
        <s v="TXN100245"/>
        <s v="TXN100246"/>
        <s v="TXN100247"/>
        <s v="TXN100248"/>
        <s v="TXN100249"/>
        <s v="TXN100250"/>
        <s v="TXN100251"/>
        <s v="TXN100252"/>
        <s v="TXN100253"/>
        <s v="TXN100254"/>
        <s v="TXN100255"/>
        <s v="TXN100256"/>
        <s v="TXN100257"/>
        <s v="TXN100258"/>
        <s v="TXN100259"/>
        <s v="TXN100260"/>
        <s v="TXN100261"/>
        <s v="TXN100262"/>
        <s v="TXN100263"/>
        <s v="TXN100264"/>
        <s v="TXN100265"/>
        <s v="TXN100266"/>
        <s v="TXN100267"/>
        <s v="TXN100268"/>
        <s v="TXN100269"/>
        <s v="TXN100270"/>
        <s v="TXN100271"/>
        <s v="TXN100272"/>
        <s v="TXN100273"/>
        <s v="TXN100274"/>
        <s v="TXN100275"/>
        <s v="TXN100276"/>
        <s v="TXN100277"/>
        <s v="TXN100278"/>
        <s v="TXN100279"/>
        <s v="TXN100280"/>
        <s v="TXN100281"/>
        <s v="TXN100282"/>
        <s v="TXN100283"/>
        <s v="TXN100284"/>
        <s v="TXN100285"/>
        <s v="TXN100286"/>
        <s v="TXN100287"/>
        <s v="TXN100288"/>
        <s v="TXN100289"/>
        <s v="TXN100290"/>
        <s v="TXN100291"/>
        <s v="TXN100292"/>
        <s v="TXN100293"/>
        <s v="TXN100294"/>
        <s v="TXN100295"/>
        <s v="TXN100296"/>
        <s v="TXN100297"/>
        <s v="TXN100298"/>
        <s v="TXN100299"/>
        <s v="TXN100300"/>
        <s v="TXN100301"/>
        <s v="TXN100302"/>
        <s v="TXN100303"/>
        <s v="TXN100304"/>
        <s v="TXN100305"/>
        <s v="TXN100306"/>
        <s v="TXN100307"/>
        <s v="TXN100308"/>
        <s v="TXN100309"/>
        <s v="TXN100310"/>
        <s v="TXN100311"/>
        <s v="TXN100312"/>
        <s v="TXN100313"/>
        <s v="TXN100314"/>
        <s v="TXN100315"/>
        <s v="TXN100316"/>
        <s v="TXN100317"/>
        <s v="TXN100318"/>
        <s v="TXN100319"/>
        <s v="TXN100320"/>
        <s v="TXN100321"/>
        <s v="TXN100322"/>
        <s v="TXN100323"/>
        <s v="TXN100324"/>
        <s v="TXN100325"/>
        <s v="TXN100326"/>
        <s v="TXN100327"/>
        <s v="TXN100328"/>
        <s v="TXN100329"/>
        <s v="TXN100330"/>
        <s v="TXN100331"/>
        <s v="TXN100332"/>
        <s v="TXN100333"/>
        <s v="TXN100334"/>
        <s v="TXN100335"/>
        <s v="TXN100336"/>
        <s v="TXN100337"/>
        <s v="TXN100338"/>
        <s v="TXN100339"/>
        <s v="TXN100340"/>
        <s v="TXN100341"/>
        <s v="TXN100342"/>
        <s v="TXN100343"/>
        <s v="TXN100344"/>
        <s v="TXN100345"/>
        <s v="TXN100346"/>
        <s v="TXN100347"/>
        <s v="TXN100348"/>
        <s v="TXN100349"/>
        <s v="TXN100350"/>
        <s v="TXN100351"/>
        <s v="TXN100352"/>
        <s v="TXN100353"/>
        <s v="TXN100354"/>
        <s v="TXN100355"/>
        <s v="TXN100356"/>
        <s v="TXN100357"/>
        <s v="TXN100358"/>
        <s v="TXN100359"/>
        <s v="TXN100360"/>
        <s v="TXN100361"/>
        <s v="TXN100362"/>
        <s v="TXN100363"/>
        <s v="TXN100364"/>
        <s v="TXN100365"/>
        <s v="TXN100366"/>
        <s v="TXN100367"/>
        <s v="TXN100368"/>
        <s v="TXN100369"/>
        <s v="TXN100370"/>
        <s v="TXN100371"/>
        <s v="TXN100372"/>
        <s v="TXN100373"/>
        <s v="TXN100374"/>
        <s v="TXN100375"/>
        <s v="TXN100376"/>
        <s v="TXN100377"/>
        <s v="TXN100378"/>
        <s v="TXN100379"/>
        <s v="TXN100380"/>
        <s v="TXN100381"/>
        <s v="TXN100382"/>
        <s v="TXN100383"/>
        <s v="TXN100384"/>
        <s v="TXN100385"/>
        <s v="TXN100386"/>
        <s v="TXN100387"/>
        <s v="TXN100388"/>
        <s v="TXN100389"/>
        <s v="TXN100390"/>
        <s v="TXN100391"/>
        <s v="TXN100392"/>
        <s v="TXN100393"/>
        <s v="TXN100394"/>
        <s v="TXN100395"/>
        <s v="TXN100396"/>
        <s v="TXN100397"/>
        <s v="TXN100398"/>
        <s v="TXN100399"/>
        <s v="TXN100400"/>
        <s v="TXN100401"/>
        <s v="TXN100402"/>
        <s v="TXN100403"/>
        <s v="TXN100404"/>
        <s v="TXN100405"/>
        <s v="TXN100406"/>
        <s v="TXN100407"/>
        <s v="TXN100408"/>
        <s v="TXN100409"/>
        <s v="TXN100410"/>
        <s v="TXN100411"/>
        <s v="TXN100412"/>
        <s v="TXN100413"/>
        <s v="TXN100414"/>
        <s v="TXN100415"/>
        <s v="TXN100416"/>
        <s v="TXN100417"/>
        <s v="TXN100418"/>
        <s v="TXN100419"/>
        <s v="TXN100420"/>
        <s v="TXN100421"/>
        <s v="TXN100422"/>
        <s v="TXN100423"/>
        <s v="TXN100424"/>
        <s v="TXN100425"/>
        <s v="TXN100426"/>
        <s v="TXN100427"/>
        <s v="TXN100428"/>
        <s v="TXN100429"/>
        <s v="TXN100430"/>
        <s v="TXN100431"/>
        <s v="TXN100432"/>
        <s v="TXN100433"/>
        <s v="TXN100434"/>
        <s v="TXN100435"/>
        <s v="TXN100436"/>
        <s v="TXN100437"/>
        <s v="TXN100438"/>
        <s v="TXN100439"/>
        <s v="TXN100440"/>
        <s v="TXN100441"/>
        <s v="TXN100442"/>
        <s v="TXN100443"/>
        <s v="TXN100444"/>
        <s v="TXN100445"/>
        <s v="TXN100446"/>
        <s v="TXN100447"/>
        <s v="TXN100448"/>
        <s v="TXN100449"/>
        <s v="TXN100450"/>
        <s v="TXN100451"/>
        <s v="TXN100452"/>
        <s v="TXN100453"/>
        <s v="TXN100454"/>
        <s v="TXN100455"/>
        <s v="TXN100456"/>
        <s v="TXN100457"/>
        <s v="TXN100458"/>
        <s v="TXN100459"/>
        <s v="TXN100460"/>
        <s v="TXN100461"/>
        <s v="TXN100462"/>
        <s v="TXN100463"/>
        <s v="TXN100464"/>
        <s v="TXN100465"/>
        <s v="TXN100466"/>
        <s v="TXN100467"/>
        <s v="TXN100468"/>
        <s v="TXN100469"/>
        <s v="TXN100470"/>
        <s v="TXN100471"/>
        <s v="TXN100472"/>
        <s v="TXN100473"/>
        <s v="TXN100474"/>
        <s v="TXN100475"/>
        <s v="TXN100476"/>
        <s v="TXN100477"/>
        <s v="TXN100478"/>
        <s v="TXN100479"/>
        <s v="TXN100480"/>
        <s v="TXN100481"/>
        <s v="TXN100482"/>
        <s v="TXN100483"/>
        <s v="TXN100484"/>
        <s v="TXN100485"/>
        <s v="TXN100486"/>
        <s v="TXN100487"/>
        <s v="TXN100488"/>
        <s v="TXN100489"/>
        <s v="TXN100490"/>
        <s v="TXN100491"/>
        <s v="TXN100492"/>
        <s v="TXN100493"/>
        <s v="TXN100494"/>
        <s v="TXN100495"/>
        <s v="TXN100496"/>
        <s v="TXN100497"/>
        <s v="TXN100498"/>
        <s v="TXN100499"/>
        <s v="TXN200000"/>
        <s v="TXN200001"/>
        <s v="TXN200002"/>
        <s v="TXN200003"/>
        <s v="TXN200004"/>
        <s v="TXN200005"/>
        <s v="TXN200006"/>
        <s v="TXN200007"/>
        <s v="TXN200008"/>
        <s v="TXN200009"/>
        <s v="TXN200010"/>
        <s v="TXN200011"/>
        <s v="TXN200012"/>
        <s v="TXN200013"/>
        <s v="TXN200014"/>
        <s v="TXN300000"/>
        <s v="TXN300001"/>
        <s v="TXN300002"/>
        <s v="TXN300003"/>
        <s v="TXN300004"/>
        <s v="TXN300005"/>
        <s v="TXN300006"/>
        <s v="TXN300007"/>
        <s v="TXN300008"/>
        <s v="TXN300009"/>
        <s v="TXN300010"/>
        <s v="TXN300011"/>
        <s v="TXN300012"/>
        <s v="TXN300013"/>
        <s v="TXN300014"/>
        <s v="TXN300015"/>
        <s v="TXN300016"/>
        <s v="TXN300017"/>
        <s v="TXN300018"/>
        <s v="TXN300019"/>
        <s v="TXN300020"/>
        <s v="TXN300021"/>
        <s v="TXN300022"/>
        <s v="TXN300023"/>
        <s v="TXN300024"/>
        <s v="TXN300025"/>
        <s v="TXN300026"/>
        <s v="TXN300027"/>
        <s v="TXN300028"/>
        <s v="TXN300029"/>
        <s v="TXN300030"/>
        <s v="TXN300031"/>
      </sharedItems>
    </cacheField>
    <cacheField name="user_id" numFmtId="0">
      <sharedItems containsSemiMixedTypes="0" containsString="0" containsNumber="1" containsInteger="1">
        <n v="350.0"/>
        <n v="287.0"/>
        <n v="122.0"/>
        <n v="92.0"/>
        <n v="343.0"/>
        <n v="196.0"/>
        <n v="236.0"/>
        <n v="13.0"/>
        <n v="36.0"/>
        <n v="348.0"/>
        <n v="134.0"/>
        <n v="306.0"/>
        <n v="311.0"/>
        <n v="131.0"/>
        <n v="276.0"/>
        <n v="170.0"/>
        <n v="154.0"/>
        <n v="207.0"/>
        <n v="341.0"/>
        <n v="292.0"/>
        <n v="147.0"/>
        <n v="336.0"/>
        <n v="110.0"/>
        <n v="338.0"/>
        <n v="318.0"/>
        <n v="159.0"/>
        <n v="126.0"/>
        <n v="213.0"/>
        <n v="254.0"/>
        <n v="3.0"/>
        <n v="266.0"/>
        <n v="63.0"/>
        <n v="272.0"/>
        <n v="259.0"/>
        <n v="244.0"/>
        <n v="327.0"/>
        <n v="321.0"/>
        <n v="277.0"/>
        <n v="79.0"/>
        <n v="278.0"/>
        <n v="216.0"/>
        <n v="295.0"/>
        <n v="200.0"/>
        <n v="309.0"/>
        <n v="249.0"/>
        <n v="208.0"/>
        <n v="274.0"/>
        <n v="14.0"/>
        <n v="237.0"/>
        <n v="109.0"/>
        <n v="334.0"/>
        <n v="11.0"/>
        <n v="132.0"/>
        <n v="59.0"/>
        <n v="160.0"/>
        <n v="102.0"/>
        <n v="53.0"/>
        <n v="290.0"/>
        <n v="190.0"/>
        <n v="248.0"/>
        <n v="138.0"/>
        <n v="231.0"/>
        <n v="167.0"/>
        <n v="133.0"/>
        <n v="142.0"/>
        <n v="124.0"/>
        <n v="151.0"/>
        <n v="340.0"/>
        <n v="177.0"/>
        <n v="233.0"/>
        <n v="99.0"/>
        <n v="95.0"/>
        <n v="302.0"/>
        <n v="100.0"/>
        <n v="8.0"/>
        <n v="284.0"/>
        <n v="252.0"/>
        <n v="246.0"/>
        <n v="245.0"/>
        <n v="296.0"/>
        <n v="44.0"/>
        <n v="157.0"/>
        <n v="51.0"/>
        <n v="42.0"/>
        <n v="81.0"/>
        <n v="241.0"/>
        <n v="145.0"/>
        <n v="136.0"/>
        <n v="137.0"/>
        <n v="158.0"/>
        <n v="148.0"/>
        <n v="166.0"/>
        <n v="346.0"/>
        <n v="326.0"/>
        <n v="171.0"/>
        <n v="211.0"/>
        <n v="282.0"/>
        <n v="1.0"/>
        <n v="227.0"/>
        <n v="323.0"/>
        <n v="283.0"/>
        <n v="150.0"/>
        <n v="197.0"/>
        <n v="70.0"/>
        <n v="260.0"/>
        <n v="301.0"/>
        <n v="279.0"/>
        <n v="97.0"/>
        <n v="52.0"/>
        <n v="74.0"/>
        <n v="163.0"/>
        <n v="121.0"/>
        <n v="15.0"/>
        <n v="184.0"/>
        <n v="90.0"/>
        <n v="119.0"/>
        <n v="342.0"/>
        <n v="280.0"/>
        <n v="155.0"/>
        <n v="152.0"/>
        <n v="21.0"/>
        <n v="187.0"/>
        <n v="188.0"/>
        <n v="85.0"/>
        <n v="174.0"/>
        <n v="116.0"/>
        <n v="203.0"/>
        <n v="189.0"/>
        <n v="56.0"/>
        <n v="288.0"/>
        <n v="60.0"/>
        <n v="199.0"/>
        <n v="17.0"/>
        <n v="186.0"/>
        <n v="331.0"/>
        <n v="328.0"/>
        <n v="65.0"/>
        <n v="230.0"/>
        <n v="258.0"/>
        <n v="32.0"/>
        <n v="312.0"/>
        <n v="325.0"/>
        <n v="221.0"/>
        <n v="161.0"/>
        <n v="222.0"/>
        <n v="67.0"/>
        <n v="169.0"/>
        <n v="217.0"/>
        <n v="54.0"/>
        <n v="247.0"/>
        <n v="337.0"/>
        <n v="16.0"/>
        <n v="215.0"/>
        <n v="140.0"/>
        <n v="250.0"/>
        <n v="62.0"/>
        <n v="224.0"/>
        <n v="262.0"/>
        <n v="179.0"/>
        <n v="76.0"/>
        <n v="89.0"/>
        <n v="91.0"/>
        <n v="297.0"/>
        <n v="78.0"/>
        <n v="156.0"/>
        <n v="38.0"/>
        <n v="305.0"/>
        <n v="22.0"/>
        <n v="310.0"/>
        <n v="269.0"/>
        <n v="307.0"/>
        <n v="130.0"/>
        <n v="66.0"/>
        <n v="261.0"/>
        <n v="71.0"/>
        <n v="317.0"/>
        <n v="93.0"/>
        <n v="313.0"/>
        <n v="103.0"/>
        <n v="329.0"/>
        <n v="265.0"/>
        <n v="114.0"/>
        <n v="28.0"/>
        <n v="242.0"/>
        <n v="316.0"/>
        <n v="77.0"/>
        <n v="57.0"/>
        <n v="123.0"/>
        <n v="33.0"/>
        <n v="324.0"/>
        <n v="293.0"/>
        <n v="183.0"/>
        <n v="322.0"/>
        <n v="330.0"/>
        <n v="235.0"/>
        <n v="204.0"/>
        <n v="332.0"/>
        <n v="205.0"/>
        <n v="255.0"/>
        <n v="218.0"/>
        <n v="86.0"/>
        <n v="181.0"/>
        <n v="30.0"/>
        <n v="263.0"/>
        <n v="225.0"/>
        <n v="228.0"/>
        <n v="229.0"/>
        <n v="164.0"/>
        <n v="149.0"/>
        <n v="185.0"/>
        <n v="94.0"/>
        <n v="64.0"/>
        <n v="41.0"/>
        <n v="289.0"/>
        <n v="153.0"/>
        <n v="226.0"/>
        <n v="82.0"/>
        <n v="26.0"/>
        <n v="69.0"/>
        <n v="24.0"/>
        <n v="20.0"/>
        <n v="234.0"/>
        <n v="168.0"/>
        <n v="251.0"/>
        <n v="195.0"/>
        <n v="314.0"/>
        <n v="273.0"/>
        <n v="349.0"/>
        <n v="143.0"/>
        <n v="335.0"/>
        <n v="46.0"/>
        <n v="19.0"/>
        <n v="55.0"/>
        <n v="173.0"/>
        <n v="206.0"/>
        <n v="128.0"/>
        <n v="6.0"/>
        <n v="281.0"/>
        <n v="106.0"/>
        <n v="29.0"/>
        <n v="112.0"/>
        <n v="194.0"/>
        <n v="115.0"/>
        <n v="345.0"/>
        <n v="118.0"/>
        <n v="315.0"/>
        <n v="25.0"/>
        <n v="120.0"/>
        <n v="165.0"/>
        <n v="267.0"/>
        <n v="286.0"/>
        <n v="214.0"/>
        <n v="105.0"/>
        <n v="239.0"/>
        <n v="39.0"/>
        <n v="4.0"/>
        <n v="182.0"/>
        <n v="88.0"/>
        <n v="291.0"/>
        <n v="144.0"/>
        <n v="162.0"/>
        <n v="178.0"/>
        <n v="139.0"/>
        <n v="125.0"/>
        <n v="87.0"/>
        <n v="75.0"/>
        <n v="127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73.0"/>
      </sharedItems>
    </cacheField>
    <cacheField name="merchant_id" numFmtId="0">
      <sharedItems containsSemiMixedTypes="0" containsString="0" containsNumber="1" containsInteger="1">
        <n v="16.0"/>
        <n v="27.0"/>
        <n v="11.0"/>
        <n v="22.0"/>
        <n v="3.0"/>
        <n v="23.0"/>
        <n v="13.0"/>
        <n v="18.0"/>
        <n v="35.0"/>
        <n v="12.0"/>
        <n v="28.0"/>
        <n v="33.0"/>
        <n v="40.0"/>
        <n v="19.0"/>
        <n v="25.0"/>
        <n v="20.0"/>
        <n v="14.0"/>
        <n v="21.0"/>
        <n v="6.0"/>
        <n v="15.0"/>
        <n v="31.0"/>
        <n v="37.0"/>
        <n v="26.0"/>
        <n v="7.0"/>
        <n v="30.0"/>
        <n v="36.0"/>
        <n v="29.0"/>
        <n v="2.0"/>
        <n v="17.0"/>
        <n v="4.0"/>
        <n v="8.0"/>
        <n v="24.0"/>
        <n v="5.0"/>
        <n v="32.0"/>
        <n v="10.0"/>
        <n v="38.0"/>
        <n v="34.0"/>
        <n v="1.0"/>
        <n v="39.0"/>
        <n v="9.0"/>
      </sharedItems>
    </cacheField>
    <cacheField name="transaction_time" numFmtId="164">
      <sharedItems containsSemiMixedTypes="0" containsDate="1" containsString="0">
        <d v="2026-01-29T11:13:00Z"/>
        <d v="2026-01-04T11:49:00Z"/>
        <d v="2026-01-24T04:59:00Z"/>
        <d v="2026-01-29T13:01:00Z"/>
        <d v="2026-01-30T13:51:00Z"/>
        <d v="2026-01-06T22:06:00Z"/>
        <d v="2026-01-08T06:52:00Z"/>
        <d v="2026-01-27T07:14:00Z"/>
        <d v="2026-01-11T08:55:00Z"/>
        <d v="2026-01-21T16:25:00Z"/>
        <d v="2026-01-01T03:56:00Z"/>
        <d v="2026-01-09T01:06:00Z"/>
        <d v="2026-01-24T10:27:00Z"/>
        <d v="2026-01-13T18:12:00Z"/>
        <d v="2026-01-14T00:33:00Z"/>
        <d v="2026-01-14T02:42:00Z"/>
        <d v="2026-01-22T03:46:00Z"/>
        <d v="2026-01-22T13:20:00Z"/>
        <d v="2026-01-05T06:26:00Z"/>
        <d v="2026-01-24T05:39:00Z"/>
        <d v="2026-01-18T00:19:00Z"/>
        <d v="2026-01-26T18:38:00Z"/>
        <d v="2026-01-15T14:43:00Z"/>
        <d v="2026-01-26T23:10:00Z"/>
        <d v="2026-01-17T21:40:00Z"/>
        <d v="2026-01-27T07:43:00Z"/>
        <d v="2026-01-05T00:02:00Z"/>
        <d v="2026-01-28T02:29:00Z"/>
        <d v="2026-01-23T22:24:00Z"/>
        <d v="2026-01-05T20:44:00Z"/>
        <d v="2026-01-14T07:11:00Z"/>
        <d v="2026-01-18T07:58:00Z"/>
        <d v="2026-01-26T14:42:00Z"/>
        <d v="2026-01-11T14:39:00Z"/>
        <d v="2026-01-15T05:47:00Z"/>
        <d v="2026-01-25T07:53:00Z"/>
        <d v="2026-01-25T16:31:00Z"/>
        <d v="2026-01-15T02:45:00Z"/>
        <d v="2026-01-11T10:57:00Z"/>
        <d v="2026-01-05T07:24:00Z"/>
        <d v="2026-01-14T13:21:00Z"/>
        <d v="2026-01-02T06:53:00Z"/>
        <d v="2026-01-19T22:01:00Z"/>
        <d v="2026-01-01T11:19:00Z"/>
        <d v="2026-01-24T23:34:00Z"/>
        <d v="2026-01-08T08:27:00Z"/>
        <d v="2026-01-11T21:43:00Z"/>
        <d v="2026-01-30T04:39:00Z"/>
        <d v="2026-01-19T18:42:00Z"/>
        <d v="2026-01-14T04:55:00Z"/>
        <d v="2026-01-09T12:20:00Z"/>
        <d v="2026-01-11T12:17:00Z"/>
        <d v="2026-01-16T00:47:00Z"/>
        <d v="2026-01-08T20:04:00Z"/>
        <d v="2026-01-01T07:12:00Z"/>
        <d v="2026-01-08T04:30:00Z"/>
        <d v="2026-01-07T14:44:00Z"/>
        <d v="2026-01-20T19:47:00Z"/>
        <d v="2026-01-04T18:01:00Z"/>
        <d v="2026-01-30T12:25:00Z"/>
        <d v="2026-01-23T20:15:00Z"/>
        <d v="2026-01-20T03:50:00Z"/>
        <d v="2026-01-18T13:42:00Z"/>
        <d v="2026-01-21T10:00:00Z"/>
        <d v="2026-01-14T11:40:00Z"/>
        <d v="2026-01-06T23:33:00Z"/>
        <d v="2026-01-26T17:49:00Z"/>
        <d v="2026-01-27T23:37:00Z"/>
        <d v="2026-01-27T02:17:00Z"/>
        <d v="2026-01-15T18:39:00Z"/>
        <d v="2026-01-01T15:54:00Z"/>
        <d v="2026-01-07T11:51:00Z"/>
        <d v="2026-01-29T19:44:00Z"/>
        <d v="2026-01-17T06:05:00Z"/>
        <d v="2026-01-18T07:44:00Z"/>
        <d v="2026-01-26T00:05:00Z"/>
        <d v="2026-01-23T07:19:00Z"/>
        <d v="2026-01-16T17:33:00Z"/>
        <d v="2026-01-18T10:22:00Z"/>
        <d v="2026-01-09T07:07:00Z"/>
        <d v="2026-01-24T17:48:00Z"/>
        <d v="2026-01-24T15:17:00Z"/>
        <d v="2026-01-10T03:53:00Z"/>
        <d v="2026-01-12T05:19:00Z"/>
        <d v="2026-01-09T01:03:00Z"/>
        <d v="2026-01-05T20:55:00Z"/>
        <d v="2026-01-19T09:30:00Z"/>
        <d v="2026-01-06T01:16:00Z"/>
        <d v="2026-01-13T15:04:00Z"/>
        <d v="2026-01-05T18:19:00Z"/>
        <d v="2026-01-18T13:38:00Z"/>
        <d v="2026-01-25T16:24:00Z"/>
        <d v="2026-01-28T18:27:00Z"/>
        <d v="2026-01-02T19:47:00Z"/>
        <d v="2026-01-07T08:42:00Z"/>
        <d v="2026-01-06T17:04:00Z"/>
        <d v="2026-01-15T22:38:00Z"/>
        <d v="2026-01-08T09:45:00Z"/>
        <d v="2026-01-22T07:59:00Z"/>
        <d v="2026-01-26T06:27:00Z"/>
        <d v="2026-01-21T04:58:00Z"/>
        <d v="2026-01-02T05:50:00Z"/>
        <d v="2026-01-27T18:58:00Z"/>
        <d v="2026-01-15T22:19:00Z"/>
        <d v="2026-01-18T15:28:00Z"/>
        <d v="2026-01-29T13:47:00Z"/>
        <d v="2026-01-01T02:14:00Z"/>
        <d v="2026-01-01T21:52:00Z"/>
        <d v="2026-01-25T05:30:00Z"/>
        <d v="2026-01-06T18:27:00Z"/>
        <d v="2026-01-16T11:26:00Z"/>
        <d v="2026-01-04T05:21:00Z"/>
        <d v="2026-01-22T12:52:00Z"/>
        <d v="2026-01-03T10:16:00Z"/>
        <d v="2026-01-13T16:52:00Z"/>
        <d v="2026-01-14T01:12:00Z"/>
        <d v="2026-01-25T15:40:00Z"/>
        <d v="2026-01-09T17:08:00Z"/>
        <d v="2026-01-16T03:01:00Z"/>
        <d v="2026-01-23T05:19:00Z"/>
        <d v="2026-01-14T02:14:00Z"/>
        <d v="2026-01-21T04:31:00Z"/>
        <d v="2026-01-09T13:53:00Z"/>
        <d v="2026-01-15T17:09:00Z"/>
        <d v="2026-01-17T23:56:00Z"/>
        <d v="2026-01-25T13:21:00Z"/>
        <d v="2026-01-10T23:19:00Z"/>
        <d v="2026-01-16T04:28:00Z"/>
        <d v="2026-01-11T17:48:00Z"/>
        <d v="2026-01-30T10:55:00Z"/>
        <d v="2026-01-13T07:54:00Z"/>
        <d v="2026-01-24T15:45:00Z"/>
        <d v="2026-01-26T20:09:00Z"/>
        <d v="2026-01-17T18:21:00Z"/>
        <d v="2026-01-17T14:00:00Z"/>
        <d v="2026-01-05T02:30:00Z"/>
        <d v="2026-01-23T12:41:00Z"/>
        <d v="2026-01-28T17:24:00Z"/>
        <d v="2026-01-02T19:04:00Z"/>
        <d v="2026-01-24T02:27:00Z"/>
        <d v="2026-01-06T22:19:00Z"/>
        <d v="2026-01-26T01:18:00Z"/>
        <d v="2026-01-05T07:33:00Z"/>
        <d v="2026-01-26T05:10:00Z"/>
        <d v="2026-01-28T12:39:00Z"/>
        <d v="2026-01-30T18:09:00Z"/>
        <d v="2026-01-09T14:16:00Z"/>
        <d v="2026-01-29T09:43:00Z"/>
        <d v="2026-01-15T11:37:00Z"/>
        <d v="2026-01-09T14:54:00Z"/>
        <d v="2026-01-28T15:06:00Z"/>
        <d v="2026-01-12T18:18:00Z"/>
        <d v="2026-01-13T08:00:00Z"/>
        <d v="2026-01-24T15:53:00Z"/>
        <d v="2026-01-26T11:14:00Z"/>
        <d v="2026-01-09T21:48:00Z"/>
        <d v="2026-01-04T20:41:00Z"/>
        <d v="2026-01-15T01:37:00Z"/>
        <d v="2026-01-30T09:20:00Z"/>
        <d v="2026-01-05T17:56:00Z"/>
        <d v="2026-01-30T08:53:00Z"/>
        <d v="2026-01-26T09:47:00Z"/>
        <d v="2026-01-03T04:48:00Z"/>
        <d v="2026-01-12T02:50:00Z"/>
        <d v="2026-01-18T03:29:00Z"/>
        <d v="2026-01-13T20:23:00Z"/>
        <d v="2026-01-01T19:56:00Z"/>
        <d v="2026-01-10T20:26:00Z"/>
        <d v="2026-01-02T09:31:00Z"/>
        <d v="2026-01-29T17:08:00Z"/>
        <d v="2026-01-22T23:44:00Z"/>
        <d v="2026-01-24T23:09:00Z"/>
        <d v="2026-01-20T13:17:00Z"/>
        <d v="2026-01-15T14:15:00Z"/>
        <d v="2026-01-12T17:57:00Z"/>
        <d v="2026-01-13T08:12:00Z"/>
        <d v="2026-01-22T06:41:00Z"/>
        <d v="2026-01-02T10:15:00Z"/>
        <d v="2026-01-03T17:13:00Z"/>
        <d v="2026-01-11T04:50:00Z"/>
        <d v="2026-01-28T04:08:00Z"/>
        <d v="2026-01-04T21:55:00Z"/>
        <d v="2026-01-12T07:37:00Z"/>
        <d v="2026-01-09T01:08:00Z"/>
        <d v="2026-01-24T02:30:00Z"/>
        <d v="2026-01-19T03:28:00Z"/>
        <d v="2026-01-02T23:50:00Z"/>
        <d v="2026-01-15T20:01:00Z"/>
        <d v="2026-01-14T21:06:00Z"/>
        <d v="2026-01-29T02:20:00Z"/>
        <d v="2026-01-05T08:39:00Z"/>
        <d v="2026-01-23T10:24:00Z"/>
        <d v="2026-01-15T16:38:00Z"/>
        <d v="2026-01-15T07:26:00Z"/>
        <d v="2026-01-14T23:06:00Z"/>
        <d v="2026-01-22T08:23:00Z"/>
        <d v="2026-01-03T02:05:00Z"/>
        <d v="2026-01-24T11:51:00Z"/>
        <d v="2026-01-19T17:35:00Z"/>
        <d v="2026-01-12T21:48:00Z"/>
        <d v="2026-01-20T09:22:00Z"/>
        <d v="2026-01-07T04:42:00Z"/>
        <d v="2026-01-12T17:23:00Z"/>
        <d v="2026-01-08T13:54:00Z"/>
        <d v="2026-01-22T20:35:00Z"/>
        <d v="2026-01-27T22:17:00Z"/>
        <d v="2026-01-23T09:58:00Z"/>
        <d v="2026-01-06T04:36:00Z"/>
        <d v="2026-01-05T23:40:00Z"/>
        <d v="2026-01-17T06:24:00Z"/>
        <d v="2026-01-06T11:19:00Z"/>
        <d v="2026-01-03T01:09:00Z"/>
        <d v="2026-01-22T02:17:00Z"/>
        <d v="2026-01-20T14:26:00Z"/>
        <d v="2026-01-17T03:22:00Z"/>
        <d v="2026-01-22T21:37:00Z"/>
        <d v="2026-01-10T01:14:00Z"/>
        <d v="2026-01-01T06:19:00Z"/>
        <d v="2026-01-09T09:20:00Z"/>
        <d v="2026-01-24T13:11:00Z"/>
        <d v="2026-01-23T07:32:00Z"/>
        <d v="2026-01-13T23:02:00Z"/>
        <d v="2026-01-30T02:55:00Z"/>
        <d v="2026-01-19T12:45:00Z"/>
        <d v="2026-01-04T12:01:00Z"/>
        <d v="2026-01-15T22:58:00Z"/>
        <d v="2026-01-28T03:15:00Z"/>
        <d v="2026-01-17T02:25:00Z"/>
        <d v="2026-01-11T05:04:00Z"/>
        <d v="2026-01-17T06:57:00Z"/>
        <d v="2026-01-27T20:52:00Z"/>
        <d v="2026-01-05T08:12:00Z"/>
        <d v="2026-01-25T20:04:00Z"/>
        <d v="2026-01-25T18:48:00Z"/>
        <d v="2026-01-30T18:41:00Z"/>
        <d v="2026-01-28T20:20:00Z"/>
        <d v="2026-01-16T14:40:00Z"/>
        <d v="2026-01-02T11:32:00Z"/>
        <d v="2026-01-15T01:03:00Z"/>
        <d v="2026-01-21T02:39:00Z"/>
        <d v="2026-01-15T18:35:00Z"/>
        <d v="2026-01-21T06:20:00Z"/>
        <d v="2026-01-05T01:28:00Z"/>
        <d v="2026-01-03T16:41:00Z"/>
        <d v="2026-01-23T14:28:00Z"/>
        <d v="2026-01-06T11:23:00Z"/>
        <d v="2026-01-25T10:43:00Z"/>
        <d v="2026-01-21T10:04:00Z"/>
        <d v="2026-01-22T12:18:00Z"/>
        <d v="2026-01-11T02:37:00Z"/>
        <d v="2026-01-10T20:44:00Z"/>
        <d v="2026-01-20T22:05:00Z"/>
        <d v="2026-01-21T10:52:00Z"/>
        <d v="2026-01-21T21:27:00Z"/>
        <d v="2026-01-12T09:11:00Z"/>
        <d v="2026-01-16T06:14:00Z"/>
        <d v="2026-01-10T03:32:00Z"/>
        <d v="2026-01-22T10:56:00Z"/>
        <d v="2026-01-13T04:10:00Z"/>
        <d v="2026-01-24T14:02:00Z"/>
        <d v="2026-01-24T07:28:00Z"/>
        <d v="2026-01-24T14:14:00Z"/>
        <d v="2026-01-26T15:57:00Z"/>
        <d v="2026-01-19T14:29:00Z"/>
        <d v="2026-01-17T13:10:00Z"/>
        <d v="2026-01-28T08:03:00Z"/>
        <d v="2026-01-18T03:45:00Z"/>
        <d v="2026-01-03T05:17:00Z"/>
        <d v="2026-01-27T13:05:00Z"/>
        <d v="2026-01-30T00:26:00Z"/>
        <d v="2026-01-12T07:24:00Z"/>
        <d v="2026-01-01T10:59:00Z"/>
        <d v="2026-01-05T01:18:00Z"/>
        <d v="2026-01-23T15:28:00Z"/>
        <d v="2026-01-01T08:13:00Z"/>
        <d v="2026-01-20T16:27:00Z"/>
        <d v="2026-01-10T03:03:00Z"/>
        <d v="2026-01-26T19:29:00Z"/>
        <d v="2026-01-20T17:01:00Z"/>
        <d v="2026-01-08T22:09:00Z"/>
        <d v="2026-01-20T11:15:00Z"/>
        <d v="2026-01-22T21:05:00Z"/>
        <d v="2026-01-17T17:32:00Z"/>
        <d v="2026-01-13T15:02:00Z"/>
        <d v="2026-01-09T23:01:00Z"/>
        <d v="2026-01-08T23:42:00Z"/>
        <d v="2026-01-19T23:48:00Z"/>
        <d v="2026-01-12T17:21:00Z"/>
        <d v="2026-01-22T14:44:00Z"/>
        <d v="2026-01-03T22:49:00Z"/>
        <d v="2026-01-07T01:50:00Z"/>
        <d v="2026-01-30T09:32:00Z"/>
        <d v="2026-01-09T01:48:00Z"/>
        <d v="2026-01-12T01:55:00Z"/>
        <d v="2026-01-04T11:27:00Z"/>
        <d v="2026-01-11T05:31:00Z"/>
        <d v="2026-01-09T02:46:00Z"/>
        <d v="2026-01-20T05:34:00Z"/>
        <d v="2026-01-03T10:42:00Z"/>
        <d v="2026-01-20T22:27:00Z"/>
        <d v="2026-01-15T01:46:00Z"/>
        <d v="2026-01-09T20:50:00Z"/>
        <d v="2026-01-21T12:23:00Z"/>
        <d v="2026-01-05T19:43:00Z"/>
        <d v="2026-01-03T07:49:00Z"/>
        <d v="2026-01-13T18:02:00Z"/>
        <d v="2026-01-15T11:23:00Z"/>
        <d v="2026-01-05T16:23:00Z"/>
        <d v="2026-01-17T12:58:00Z"/>
        <d v="2026-01-25T08:45:00Z"/>
        <d v="2026-01-10T22:58:00Z"/>
        <d v="2026-01-05T02:28:00Z"/>
        <d v="2026-01-26T21:54:00Z"/>
        <d v="2026-01-03T17:34:00Z"/>
        <d v="2026-01-23T22:59:00Z"/>
        <d v="2026-01-17T07:07:00Z"/>
        <d v="2026-01-26T15:01:00Z"/>
        <d v="2026-01-12T14:51:00Z"/>
        <d v="2026-01-29T02:04:00Z"/>
        <d v="2026-01-24T15:33:00Z"/>
        <d v="2026-01-03T04:20:00Z"/>
        <d v="2026-01-15T21:33:00Z"/>
        <d v="2026-01-18T20:37:00Z"/>
        <d v="2026-01-17T01:53:00Z"/>
        <d v="2026-01-10T05:10:00Z"/>
        <d v="2026-01-17T09:54:00Z"/>
        <d v="2026-01-21T17:17:00Z"/>
        <d v="2026-01-18T02:32:00Z"/>
        <d v="2026-01-19T04:10:00Z"/>
        <d v="2026-01-29T19:21:00Z"/>
        <d v="2026-01-03T01:41:00Z"/>
        <d v="2026-01-07T18:26:00Z"/>
        <d v="2026-01-29T20:34:00Z"/>
        <d v="2026-01-08T21:25:00Z"/>
        <d v="2026-01-23T01:10:00Z"/>
        <d v="2026-01-15T06:21:00Z"/>
        <d v="2026-01-28T22:20:00Z"/>
        <d v="2026-01-25T11:32:00Z"/>
        <d v="2026-01-08T14:07:00Z"/>
        <d v="2026-01-05T03:03:00Z"/>
        <d v="2026-01-14T07:55:00Z"/>
        <d v="2026-01-24T10:12:00Z"/>
        <d v="2026-01-15T15:56:00Z"/>
        <d v="2026-01-03T12:32:00Z"/>
        <d v="2026-01-19T11:03:00Z"/>
        <d v="2026-01-20T20:43:00Z"/>
        <d v="2026-01-01T03:27:00Z"/>
        <d v="2026-01-12T12:23:00Z"/>
        <d v="2026-01-19T17:12:00Z"/>
        <d v="2026-01-27T19:43:00Z"/>
        <d v="2026-01-04T12:23:00Z"/>
        <d v="2026-01-25T04:12:00Z"/>
        <d v="2026-01-17T01:02:00Z"/>
        <d v="2026-01-11T15:33:00Z"/>
        <d v="2026-01-29T16:08:00Z"/>
        <d v="2026-01-06T12:39:00Z"/>
        <d v="2026-01-17T16:34:00Z"/>
        <d v="2026-01-16T00:23:00Z"/>
        <d v="2026-01-19T09:50:00Z"/>
        <d v="2026-01-16T08:41:00Z"/>
        <d v="2026-01-24T01:37:00Z"/>
        <d v="2026-01-21T23:39:00Z"/>
        <d v="2026-01-08T01:36:00Z"/>
        <d v="2026-01-15T10:26:00Z"/>
        <d v="2026-01-07T13:32:00Z"/>
        <d v="2026-01-24T01:45:00Z"/>
        <d v="2026-01-18T10:42:00Z"/>
        <d v="2026-01-11T05:29:00Z"/>
        <d v="2026-01-12T21:49:00Z"/>
        <d v="2026-01-16T06:15:00Z"/>
        <d v="2026-01-08T09:49:00Z"/>
        <d v="2026-01-23T15:20:00Z"/>
        <d v="2026-01-30T23:17:00Z"/>
        <d v="2026-01-22T17:24:00Z"/>
        <d v="2026-01-26T04:18:00Z"/>
        <d v="2026-01-03T11:59:00Z"/>
        <d v="2026-01-16T06:12:00Z"/>
        <d v="2026-01-23T08:08:00Z"/>
        <d v="2026-01-19T07:15:00Z"/>
        <d v="2026-01-21T07:03:00Z"/>
        <d v="2026-01-23T15:06:00Z"/>
        <d v="2026-01-18T05:26:00Z"/>
        <d v="2026-01-21T06:48:00Z"/>
        <d v="2026-01-21T01:58:00Z"/>
        <d v="2026-01-18T23:46:00Z"/>
        <d v="2026-01-29T05:59:00Z"/>
        <d v="2026-01-16T05:59:00Z"/>
        <d v="2026-01-10T18:38:00Z"/>
        <d v="2026-01-15T20:34:00Z"/>
        <d v="2026-01-28T16:29:00Z"/>
        <d v="2026-01-11T05:46:00Z"/>
        <d v="2026-01-06T00:47:00Z"/>
        <d v="2026-01-22T06:11:00Z"/>
        <d v="2026-01-17T10:05:00Z"/>
        <d v="2026-01-05T15:20:00Z"/>
        <d v="2026-01-13T07:28:00Z"/>
        <d v="2026-01-19T23:36:00Z"/>
        <d v="2026-01-12T22:15:00Z"/>
        <d v="2026-01-10T05:25:00Z"/>
        <d v="2026-01-04T20:58:00Z"/>
        <d v="2026-01-08T07:08:00Z"/>
        <d v="2026-01-24T19:23:00Z"/>
        <d v="2026-01-25T17:51:00Z"/>
        <d v="2026-01-08T21:48:00Z"/>
        <d v="2026-01-15T16:45:00Z"/>
        <d v="2026-01-04T01:53:00Z"/>
        <d v="2026-01-19T17:09:00Z"/>
        <d v="2026-01-15T03:43:00Z"/>
        <d v="2026-01-03T16:28:00Z"/>
        <d v="2026-01-17T13:29:00Z"/>
        <d v="2026-01-15T21:51:00Z"/>
        <d v="2026-01-09T00:47:00Z"/>
        <d v="2026-01-02T13:22:00Z"/>
        <d v="2026-01-30T02:59:00Z"/>
        <d v="2026-01-14T05:49:00Z"/>
        <d v="2026-01-29T12:28:00Z"/>
        <d v="2026-01-22T21:55:00Z"/>
        <d v="2026-01-28T11:07:00Z"/>
        <d v="2026-01-17T04:46:00Z"/>
        <d v="2026-01-01T09:29:00Z"/>
        <d v="2026-01-18T12:52:00Z"/>
        <d v="2026-01-12T04:17:00Z"/>
        <d v="2026-01-26T21:26:00Z"/>
        <d v="2026-01-07T02:06:00Z"/>
        <d v="2026-01-20T21:45:00Z"/>
        <d v="2026-01-02T12:28:00Z"/>
        <d v="2026-01-25T01:08:00Z"/>
        <d v="2026-01-27T23:36:00Z"/>
        <d v="2026-01-25T21:52:00Z"/>
        <d v="2026-01-29T04:42:00Z"/>
        <d v="2026-01-10T08:03:00Z"/>
        <d v="2026-01-30T05:40:00Z"/>
        <d v="2026-01-16T01:22:00Z"/>
        <d v="2026-01-17T10:44:00Z"/>
        <d v="2026-01-10T12:11:00Z"/>
        <d v="2026-01-28T07:19:00Z"/>
        <d v="2026-01-18T13:26:00Z"/>
        <d v="2026-01-13T07:16:00Z"/>
        <d v="2026-01-03T14:54:00Z"/>
        <d v="2026-01-24T06:03:00Z"/>
        <d v="2026-01-20T19:02:00Z"/>
        <d v="2026-01-19T23:42:00Z"/>
        <d v="2026-01-07T10:19:00Z"/>
        <d v="2026-01-24T03:47:00Z"/>
        <d v="2026-01-20T22:13:00Z"/>
        <d v="2026-01-11T09:24:00Z"/>
        <d v="2026-01-12T09:16:00Z"/>
        <d v="2026-01-15T03:51:00Z"/>
        <d v="2026-01-12T10:26:00Z"/>
        <d v="2026-01-24T04:01:00Z"/>
        <d v="2026-01-19T23:26:00Z"/>
        <d v="2026-01-11T07:24:00Z"/>
        <d v="2026-01-18T20:43:00Z"/>
        <d v="2026-01-27T15:46:00Z"/>
        <d v="2026-01-06T23:50:00Z"/>
        <d v="2026-01-24T17:31:00Z"/>
        <d v="2026-01-02T16:02:00Z"/>
        <d v="2026-01-01T13:08:00Z"/>
        <d v="2026-01-23T04:00:00Z"/>
        <d v="2026-01-12T01:39:00Z"/>
        <d v="2026-01-22T15:01:00Z"/>
        <d v="2026-01-14T00:01:00Z"/>
        <d v="2026-01-10T00:32:00Z"/>
        <d v="2026-01-04T03:33:00Z"/>
        <d v="2026-01-20T16:16:00Z"/>
        <d v="2026-01-03T11:25:00Z"/>
        <d v="2026-01-13T12:24:00Z"/>
        <d v="2026-01-21T00:44:00Z"/>
        <d v="2026-01-28T13:41:00Z"/>
        <d v="2026-01-29T16:58:00Z"/>
        <d v="2026-01-29T22:56:00Z"/>
        <d v="2026-01-02T02:43:00Z"/>
        <d v="2026-01-22T01:11:00Z"/>
        <d v="2026-01-19T04:48:00Z"/>
        <d v="2026-01-06T18:15:00Z"/>
        <d v="2026-01-29T17:21:00Z"/>
        <d v="2026-01-24T02:32:00Z"/>
        <d v="2026-01-14T07:53:00Z"/>
        <d v="2026-01-25T19:38:00Z"/>
        <d v="2026-01-21T08:50:00Z"/>
        <d v="2026-01-12T17:24:00Z"/>
        <d v="2026-01-19T21:24:00Z"/>
        <d v="2026-01-26T07:45:00Z"/>
        <d v="2026-01-05T12:45:00Z"/>
        <d v="2026-01-13T10:23:00Z"/>
        <d v="2026-01-10T14:23:00Z"/>
        <d v="2026-01-03T05:27:00Z"/>
        <d v="2026-01-17T13:06:00Z"/>
        <d v="2026-01-18T02:38:00Z"/>
        <d v="2026-01-01T09:26:00Z"/>
        <d v="2026-01-29T17:57:00Z"/>
        <d v="2026-01-06T21:24:00Z"/>
        <d v="2026-01-10T08:31:00Z"/>
        <d v="2026-01-14T08:26:00Z"/>
        <d v="2026-01-03T11:16:00Z"/>
        <d v="2026-01-30T06:00:00Z"/>
        <d v="2026-01-11T12:00:00Z"/>
        <d v="2026-01-21T14:00:00Z"/>
        <d v="2026-01-21T19:00:00Z"/>
        <d v="2026-01-16T12:00:00Z"/>
        <d v="2026-01-29T07:00:00Z"/>
        <d v="2026-01-23T11:00:00Z"/>
        <d v="2026-01-28T05:00:00Z"/>
        <d v="2026-01-25T22:00:00Z"/>
        <d v="2026-01-13T13:00:00Z"/>
        <d v="2026-01-20T07:00:00Z"/>
        <d v="2026-01-23T02:00:00Z"/>
        <d v="2026-01-23T17:00:00Z"/>
        <d v="2026-01-22T22:00:00Z"/>
        <d v="2026-01-18T21:00:00Z"/>
        <d v="2026-01-02T18:00:00Z"/>
        <d v="2026-01-02T18:01:00Z"/>
        <d v="2026-01-02T18:02:00Z"/>
        <d v="2026-01-02T18:03:00Z"/>
        <d v="2026-01-12T12:00:00Z"/>
        <d v="2026-01-12T12:01:00Z"/>
        <d v="2026-01-12T12:02:00Z"/>
        <d v="2026-01-12T12:03:00Z"/>
        <d v="2026-01-12T09:00:00Z"/>
        <d v="2026-01-12T09:01:00Z"/>
        <d v="2026-01-12T09:02:00Z"/>
        <d v="2026-01-12T09:03:00Z"/>
        <d v="2026-01-02T22:00:00Z"/>
        <d v="2026-01-02T22:01:00Z"/>
        <d v="2026-01-02T22:02:00Z"/>
        <d v="2026-01-02T22:03:00Z"/>
        <d v="2026-01-14T14:00:00Z"/>
        <d v="2026-01-14T14:01:00Z"/>
        <d v="2026-01-14T14:02:00Z"/>
        <d v="2026-01-14T14:03:00Z"/>
        <d v="2026-01-01T22:00:00Z"/>
        <d v="2026-01-01T22:01:00Z"/>
        <d v="2026-01-01T22:02:00Z"/>
        <d v="2026-01-01T22:03:00Z"/>
        <d v="2026-01-09T21:00:00Z"/>
        <d v="2026-01-09T21:01:00Z"/>
        <d v="2026-01-09T21:02:00Z"/>
        <d v="2026-01-09T21:03:00Z"/>
        <d v="2026-01-23T09:00:00Z"/>
        <d v="2026-01-23T09:01:00Z"/>
        <d v="2026-01-23T09:02:00Z"/>
        <d v="2026-01-23T09:03:00Z"/>
      </sharedItems>
    </cacheField>
    <cacheField name="amount_inr" numFmtId="0">
      <sharedItems containsSemiMixedTypes="0" containsString="0" containsNumber="1" containsInteger="1">
        <n v="2999.0"/>
        <n v="49.0"/>
        <n v="1499.0"/>
        <n v="99.0"/>
        <n v="799.0"/>
        <n v="299.0"/>
        <n v="499.0"/>
        <n v="149.0"/>
        <n v="4999.0"/>
        <n v="1999.0"/>
        <n v="999.0"/>
        <n v="399.0"/>
      </sharedItems>
    </cacheField>
    <cacheField name="payment_method" numFmtId="0">
      <sharedItems>
        <s v="Wallet"/>
        <s v="UPI"/>
        <s v="Netbanking"/>
        <s v="Card"/>
      </sharedItems>
    </cacheField>
    <cacheField name="status" numFmtId="0">
      <sharedItems>
        <s v="captured"/>
        <s v="failed"/>
        <s v="chargeback"/>
      </sharedItems>
    </cacheField>
    <cacheField name="risk_score" numFmtId="0">
      <sharedItems containsSemiMixedTypes="0" containsString="0" containsNumber="1" containsInteger="1">
        <n v="85.0"/>
        <n v="79.0"/>
        <n v="22.0"/>
        <n v="100.0"/>
        <n v="34.0"/>
        <n v="60.0"/>
        <n v="39.0"/>
        <n v="51.0"/>
        <n v="44.0"/>
        <n v="42.0"/>
        <n v="74.0"/>
        <n v="14.0"/>
        <n v="90.0"/>
        <n v="46.0"/>
        <n v="40.0"/>
        <n v="70.0"/>
        <n v="86.0"/>
        <n v="55.0"/>
        <n v="59.0"/>
        <n v="36.0"/>
        <n v="11.0"/>
        <n v="25.0"/>
        <n v="78.0"/>
        <n v="24.0"/>
        <n v="31.0"/>
        <n v="99.0"/>
        <n v="6.0"/>
        <n v="17.0"/>
        <n v="76.0"/>
        <n v="33.0"/>
        <n v="98.0"/>
        <n v="35.0"/>
        <n v="8.0"/>
        <n v="53.0"/>
        <n v="61.0"/>
        <n v="68.0"/>
        <n v="62.0"/>
        <n v="49.0"/>
        <n v="50.0"/>
        <n v="82.0"/>
        <n v="41.0"/>
        <n v="10.0"/>
        <n v="96.0"/>
        <n v="19.0"/>
        <n v="72.0"/>
        <n v="21.0"/>
        <n v="75.0"/>
        <n v="87.0"/>
        <n v="64.0"/>
        <n v="13.0"/>
        <n v="43.0"/>
        <n v="1.0"/>
        <n v="57.0"/>
        <n v="47.0"/>
        <n v="95.0"/>
        <n v="15.0"/>
        <n v="27.0"/>
        <n v="29.0"/>
        <n v="16.0"/>
        <n v="89.0"/>
        <n v="28.0"/>
        <n v="38.0"/>
        <n v="80.0"/>
        <n v="30.0"/>
        <n v="52.0"/>
        <n v="4.0"/>
        <n v="9.0"/>
        <n v="84.0"/>
        <n v="5.0"/>
        <n v="32.0"/>
        <n v="58.0"/>
        <n v="26.0"/>
        <n v="0.0"/>
        <n v="73.0"/>
        <n v="12.0"/>
        <n v="83.0"/>
        <n v="69.0"/>
        <n v="56.0"/>
        <n v="63.0"/>
        <n v="81.0"/>
        <n v="88.0"/>
        <n v="77.0"/>
        <n v="71.0"/>
        <n v="7.0"/>
        <n v="2.0"/>
        <n v="65.0"/>
        <n v="37.0"/>
        <n v="97.0"/>
        <n v="54.0"/>
        <n v="67.0"/>
        <n v="93.0"/>
        <n v="91.0"/>
        <n v="48.0"/>
        <n v="18.0"/>
        <n v="23.0"/>
        <n v="66.0"/>
        <n v="3.0"/>
        <n v="20.0"/>
        <n v="92.0"/>
        <n v="94.0"/>
        <n v="45.0"/>
      </sharedItems>
    </cacheField>
    <cacheField name="merchant_name" numFmtId="0">
      <sharedItems>
        <s v="Merchant_016"/>
        <s v="Merchant_027"/>
        <s v="Merchant_011"/>
        <s v="Merchant_022"/>
        <s v="Merchant_003"/>
        <s v="Merchant_023"/>
        <s v="Merchant_013"/>
        <s v="Merchant_018"/>
        <s v="Merchant_035"/>
        <s v="Merchant_012"/>
        <s v="Merchant_028"/>
        <s v="Merchant_033"/>
        <s v="Merchant_040"/>
        <s v="Merchant_019"/>
        <s v="Merchant_025"/>
        <s v="Merchant_020"/>
        <s v="Merchant_014"/>
        <s v="Merchant_021"/>
        <s v="Merchant_006"/>
        <s v="Merchant_015"/>
        <s v="Merchant_031"/>
        <s v="Merchant_037"/>
        <s v="Merchant_026"/>
        <s v="Merchant_007"/>
        <s v="Merchant_030"/>
        <s v="Merchant_036"/>
        <s v="Merchant_029"/>
        <s v="Merchant_002"/>
        <s v="Merchant_017"/>
        <s v="Merchant_004"/>
        <s v="Merchant_008"/>
        <s v="Merchant_024"/>
        <s v="Merchant_005"/>
        <s v="Merchant_032"/>
        <s v="Merchant_010"/>
        <s v="Merchant_038"/>
        <s v="Merchant_034"/>
        <s v="Merchant_001"/>
        <s v="Merchant_039"/>
        <s v="Merchant_009"/>
      </sharedItems>
    </cacheField>
    <cacheField name="category" numFmtId="0">
      <sharedItems>
        <s v="bill_payment"/>
        <s v="ecommerce"/>
        <s v="travel"/>
        <s v="grocery"/>
        <s v="recharge"/>
        <s v="entertainment"/>
        <s v="food_delivery"/>
      </sharedItems>
    </cacheField>
    <cacheField name="region" numFmtId="0">
      <sharedItems>
        <s v="West"/>
        <s v="North"/>
        <s v="South"/>
        <s v="East"/>
      </sharedItems>
    </cacheField>
    <cacheField name="illustrative_fee_pct" numFmtId="0">
      <sharedItems containsSemiMixedTypes="0" containsString="0" containsNumber="1">
        <n v="0.005"/>
        <n v="0.0"/>
        <n v="0.015"/>
        <n v="0.01"/>
      </sharedItems>
    </cacheField>
    <cacheField name="transaction_date" numFmtId="165">
      <sharedItems containsSemiMixedTypes="0" containsDate="1" containsString="0">
        <d v="2026-01-29T00:00:00Z"/>
        <d v="2026-01-04T00:00:00Z"/>
        <d v="2026-01-24T00:00:00Z"/>
        <d v="2026-01-30T00:00:00Z"/>
        <d v="2026-01-06T00:00:00Z"/>
        <d v="2026-01-08T00:00:00Z"/>
        <d v="2026-01-27T00:00:00Z"/>
        <d v="2026-01-11T00:00:00Z"/>
        <d v="2026-01-21T00:00:00Z"/>
        <d v="2026-01-01T00:00:00Z"/>
        <d v="2026-01-09T00:00:00Z"/>
        <d v="2026-01-13T00:00:00Z"/>
        <d v="2026-01-14T00:00:00Z"/>
        <d v="2026-01-22T00:00:00Z"/>
        <d v="2026-01-05T00:00:00Z"/>
        <d v="2026-01-18T00:00:00Z"/>
        <d v="2026-01-26T00:00:00Z"/>
        <d v="2026-01-15T00:00:00Z"/>
        <d v="2026-01-17T00:00:00Z"/>
        <d v="2026-01-28T00:00:00Z"/>
        <d v="2026-01-23T00:00:00Z"/>
        <d v="2026-01-25T00:00:00Z"/>
        <d v="2026-01-02T00:00:00Z"/>
        <d v="2026-01-19T00:00:00Z"/>
        <d v="2026-01-16T00:00:00Z"/>
        <d v="2026-01-07T00:00:00Z"/>
        <d v="2026-01-20T00:00:00Z"/>
        <d v="2026-01-10T00:00:00Z"/>
        <d v="2026-01-12T00:00:00Z"/>
        <d v="2026-01-03T00:00:00Z"/>
      </sharedItems>
    </cacheField>
    <cacheField name="merchant_day_key" numFmtId="0">
      <sharedItems>
        <s v="16|2026-01-29"/>
        <s v="27|2026-01-04"/>
        <s v="11|2026-01-24"/>
        <s v="22|2026-01-29"/>
        <s v="16|2026-01-30"/>
        <s v="3|2026-01-06"/>
        <s v="23|2026-01-08"/>
        <s v="13|2026-01-27"/>
        <s v="18|2026-01-11"/>
        <s v="35|2026-01-21"/>
        <s v="12|2026-01-01"/>
        <s v="28|2026-01-09"/>
        <s v="33|2026-01-24"/>
        <s v="3|2026-01-13"/>
        <s v="13|2026-01-14"/>
        <s v="40|2026-01-14"/>
        <s v="33|2026-01-22"/>
        <s v="19|2026-01-22"/>
        <s v="25|2026-01-05"/>
        <s v="20|2026-01-24"/>
        <s v="14|2026-01-18"/>
        <s v="21|2026-01-26"/>
        <s v="33|2026-01-15"/>
        <s v="6|2026-01-26"/>
        <s v="22|2026-01-17"/>
        <s v="15|2026-01-27"/>
        <s v="31|2026-01-05"/>
        <s v="37|2026-01-28"/>
        <s v="26|2026-01-23"/>
        <s v="7|2026-01-05"/>
        <s v="30|2026-01-14"/>
        <s v="30|2026-01-18"/>
        <s v="36|2026-01-26"/>
        <s v="28|2026-01-11"/>
        <s v="29|2026-01-15"/>
        <s v="18|2026-01-25"/>
        <s v="16|2026-01-25"/>
        <s v="16|2026-01-15"/>
        <s v="6|2026-01-11"/>
        <s v="14|2026-01-05"/>
        <s v="25|2026-01-02"/>
        <s v="25|2026-01-19"/>
        <s v="27|2026-01-01"/>
        <s v="15|2026-01-24"/>
        <s v="2|2026-01-08"/>
        <s v="11|2026-01-11"/>
        <s v="2|2026-01-30"/>
        <s v="6|2026-01-19"/>
        <s v="12|2026-01-14"/>
        <s v="30|2026-01-09"/>
        <s v="17|2026-01-11"/>
        <s v="4|2026-01-16"/>
        <s v="3|2026-01-08"/>
        <s v="40|2026-01-01"/>
        <s v="8|2026-01-08"/>
        <s v="24|2026-01-07"/>
        <s v="11|2026-01-20"/>
        <s v="37|2026-01-04"/>
        <s v="5|2026-01-30"/>
        <s v="20|2026-01-23"/>
        <s v="3|2026-01-20"/>
        <s v="5|2026-01-18"/>
        <s v="32|2026-01-21"/>
        <s v="10|2026-01-14"/>
        <s v="18|2026-01-06"/>
        <s v="30|2026-01-26"/>
        <s v="21|2026-01-27"/>
        <s v="16|2026-01-27"/>
        <s v="25|2026-01-15"/>
        <s v="22|2026-01-07"/>
        <s v="36|2026-01-29"/>
        <s v="27|2026-01-17"/>
        <s v="32|2026-01-18"/>
        <s v="15|2026-01-26"/>
        <s v="38|2026-01-23"/>
        <s v="28|2026-01-16"/>
        <s v="18|2026-01-18"/>
        <s v="21|2026-01-09"/>
        <s v="13|2026-01-24"/>
        <s v="34|2026-01-24"/>
        <s v="19|2026-01-10"/>
        <s v="35|2026-01-12"/>
        <s v="19|2026-01-09"/>
        <s v="29|2026-01-19"/>
        <s v="8|2026-01-06"/>
        <s v="4|2026-01-13"/>
        <s v="16|2026-01-05"/>
        <s v="40|2026-01-18"/>
        <s v="29|2026-01-25"/>
        <s v="14|2026-01-02"/>
        <s v="11|2026-01-07"/>
        <s v="1|2026-01-06"/>
        <s v="19|2026-01-15"/>
        <s v="30|2026-01-08"/>
        <s v="38|2026-01-22"/>
        <s v="35|2026-01-26"/>
        <s v="10|2026-01-21"/>
        <s v="39|2026-01-02"/>
        <s v="29|2026-01-27"/>
        <s v="18|2026-01-15"/>
        <s v="39|2026-01-18"/>
        <s v="39|2026-01-29"/>
        <s v="37|2026-01-01"/>
        <s v="32|2026-01-06"/>
        <s v="21|2026-01-16"/>
        <s v="32|2026-01-04"/>
        <s v="3|2026-01-22"/>
        <s v="8|2026-01-03"/>
        <s v="35|2026-01-13"/>
        <s v="24|2026-01-14"/>
        <s v="4|2026-01-25"/>
        <s v="29|2026-01-09"/>
        <s v="39|2026-01-16"/>
        <s v="1|2026-01-23"/>
        <s v="33|2026-01-21"/>
        <s v="31|2026-01-09"/>
        <s v="13|2026-01-15"/>
        <s v="5|2026-01-17"/>
        <s v="38|2026-01-10"/>
        <s v="31|2026-01-16"/>
        <s v="25|2026-01-11"/>
        <s v="25|2026-01-24"/>
        <s v="3|2026-01-26"/>
        <s v="29|2026-01-17"/>
        <s v="22|2026-01-05"/>
        <s v="22|2026-01-23"/>
        <s v="32|2026-01-28"/>
        <s v="19|2026-01-02"/>
        <s v="7|2026-01-24"/>
        <s v="24|2026-01-26"/>
        <s v="37|2026-01-05"/>
        <s v="16|2026-01-28"/>
        <s v="30|2026-01-30"/>
        <s v="1|2026-01-09"/>
        <s v="11|2026-01-29"/>
        <s v="28|2026-01-15"/>
        <s v="13|2026-01-09"/>
        <s v="25|2026-01-28"/>
        <s v="2|2026-01-12"/>
        <s v="13|2026-01-26"/>
        <s v="9|2026-01-09"/>
        <s v="20|2026-01-04"/>
        <s v="9|2026-01-15"/>
        <s v="12|2026-01-30"/>
        <s v="34|2026-01-05"/>
        <s v="17|2026-01-30"/>
        <s v="8|2026-01-26"/>
        <s v="26|2026-01-03"/>
        <s v="1|2026-01-12"/>
        <s v="17|2026-01-18"/>
        <s v="15|2026-01-13"/>
        <s v="21|2026-01-01"/>
        <s v="9|2026-01-10"/>
        <s v="7|2026-01-02"/>
        <s v="30|2026-01-29"/>
        <s v="27|2026-01-22"/>
        <s v="24|2026-01-20"/>
        <s v="7|2026-01-15"/>
        <s v="23|2026-01-12"/>
        <s v="30|2026-01-13"/>
        <s v="39|2026-01-22"/>
        <s v="37|2026-01-02"/>
        <s v="14|2026-01-03"/>
        <s v="1|2026-01-11"/>
        <s v="17|2026-01-28"/>
        <s v="9|2026-01-04"/>
        <s v="34|2026-01-09"/>
        <s v="24|2026-01-24"/>
        <s v="15|2026-01-19"/>
        <s v="34|2026-01-02"/>
        <s v="31|2026-01-15"/>
        <s v="29|2026-01-14"/>
        <s v="10|2026-01-29"/>
        <s v="38|2026-01-05"/>
        <s v="34|2026-01-23"/>
        <s v="14|2026-01-04"/>
        <s v="30|2026-01-15"/>
        <s v="28|2026-01-14"/>
        <s v="31|2026-01-22"/>
        <s v="7|2026-01-03"/>
        <s v="36|2026-01-24"/>
        <s v="8|2026-01-19"/>
        <s v="4|2026-01-12"/>
        <s v="37|2026-01-20"/>
        <s v="15|2026-01-07"/>
        <s v="18|2026-01-12"/>
        <s v="40|2026-01-08"/>
        <s v="12|2026-01-27"/>
        <s v="23|2026-01-23"/>
        <s v="26|2026-01-06"/>
        <s v="6|2026-01-05"/>
        <s v="30|2026-01-17"/>
        <s v="37|2026-01-06"/>
        <s v="40|2026-01-03"/>
        <s v="28|2026-01-22"/>
        <s v="14|2026-01-20"/>
        <s v="8|2026-01-17"/>
        <s v="34|2026-01-22"/>
        <s v="39|2026-01-10"/>
        <s v="9|2026-01-01"/>
        <s v="2|2026-01-13"/>
        <s v="37|2026-01-30"/>
        <s v="27|2026-01-19"/>
        <s v="11|2026-01-04"/>
        <s v="6|2026-01-15"/>
        <s v="38|2026-01-28"/>
        <s v="8|2026-01-11"/>
        <s v="23|2026-01-17"/>
        <s v="39|2026-01-05"/>
        <s v="32|2026-01-25"/>
        <s v="40|2026-01-30"/>
        <s v="29|2026-01-28"/>
        <s v="18|2026-01-16"/>
        <s v="20|2026-01-02"/>
        <s v="31|2026-01-21"/>
        <s v="3|2026-01-03"/>
        <s v="25|2026-01-06"/>
        <s v="7|2026-01-21"/>
        <s v="10|2026-01-11"/>
        <s v="26|2026-01-10"/>
        <s v="36|2026-01-20"/>
        <s v="34|2026-01-21"/>
        <s v="24|2026-01-21"/>
        <s v="22|2026-01-12"/>
        <s v="10|2026-01-16"/>
        <s v="34|2026-01-10"/>
        <s v="9|2026-01-22"/>
        <s v="40|2026-01-13"/>
        <s v="19|2026-01-24"/>
        <s v="16|2026-01-24"/>
        <s v="39|2026-01-17"/>
        <s v="31|2026-01-28"/>
        <s v="8|2026-01-18"/>
        <s v="33|2026-01-03"/>
        <s v="26|2026-01-30"/>
        <s v="24|2026-01-12"/>
        <s v="22|2026-01-01"/>
        <s v="9|2026-01-05"/>
        <s v="36|2026-01-01"/>
        <s v="19|2026-01-20"/>
        <s v="27|2026-01-10"/>
        <s v="33|2026-01-20"/>
        <s v="28|2026-01-08"/>
        <s v="27|2026-01-20"/>
        <s v="24|2026-01-22"/>
        <s v="36|2026-01-17"/>
        <s v="25|2026-01-13"/>
        <s v="5|2026-01-09"/>
        <s v="7|2026-01-08"/>
        <s v="9|2026-01-19"/>
        <s v="12|2026-01-12"/>
        <s v="12|2026-01-22"/>
        <s v="3|2026-01-07"/>
        <s v="35|2026-01-30"/>
        <s v="29|2026-01-04"/>
        <s v="24|2026-01-11"/>
        <s v="6|2026-01-09"/>
        <s v="21|2026-01-20"/>
        <s v="20|2026-01-03"/>
        <s v="29|2026-01-20"/>
        <s v="40|2026-01-15"/>
        <s v="11|2026-01-21"/>
        <s v="3|2026-01-05"/>
        <s v="24|2026-01-03"/>
        <s v="10|2026-01-13"/>
        <s v="5|2026-01-15"/>
        <s v="21|2026-01-05"/>
        <s v="12|2026-01-09"/>
        <s v="14|2026-01-25"/>
        <s v="13|2026-01-10"/>
        <s v="29|2026-01-05"/>
        <s v="23|2026-01-26"/>
        <s v="12|2026-01-23"/>
        <s v="9|2026-01-17"/>
        <s v="9|2026-01-12"/>
        <s v="26|2026-01-29"/>
        <s v="27|2026-01-24"/>
        <s v="5|2026-01-03"/>
        <s v="9|2026-01-18"/>
        <s v="34|2026-01-17"/>
        <s v="15|2026-01-10"/>
        <s v="17|2026-01-17"/>
        <s v="20|2026-01-21"/>
        <s v="11|2026-01-18"/>
        <s v="40|2026-01-19"/>
        <s v="3|2026-01-29"/>
        <s v="17|2026-01-03"/>
        <s v="2|2026-01-07"/>
        <s v="20|2026-01-29"/>
        <s v="27|2026-01-23"/>
        <s v="10|2026-01-15"/>
        <s v="26|2026-01-28"/>
        <s v="7|2026-01-25"/>
        <s v="29|2026-01-08"/>
        <s v="21|2026-01-14"/>
        <s v="32|2026-01-24"/>
        <s v="32|2026-01-15"/>
        <s v="16|2026-01-03"/>
        <s v="19|2026-01-19"/>
        <s v="17|2026-01-01"/>
        <s v="26|2026-01-12"/>
        <s v="36|2026-01-19"/>
        <s v="36|2026-01-03"/>
        <s v="8|2026-01-27"/>
        <s v="36|2026-01-04"/>
        <s v="33|2026-01-25"/>
        <s v="40|2026-01-29"/>
        <s v="38|2026-01-06"/>
        <s v="37|2026-01-17"/>
        <s v="8|2026-01-16"/>
        <s v="2|2026-01-19"/>
        <s v="37|2026-01-16"/>
        <s v="13|2026-01-08"/>
        <s v="27|2026-01-15"/>
        <s v="31|2026-01-07"/>
        <s v="34|2026-01-18"/>
        <s v="22|2026-01-11"/>
        <s v="17|2026-01-12"/>
        <s v="36|2026-01-16"/>
        <s v="14|2026-01-08"/>
        <s v="8|2026-01-30"/>
        <s v="23|2026-01-22"/>
        <s v="19|2026-01-26"/>
        <s v="40|2026-01-23"/>
        <s v="34|2026-01-19"/>
        <s v="27|2026-01-21"/>
        <s v="9|2026-01-23"/>
        <s v="31|2026-01-18"/>
        <s v="21|2026-01-21"/>
        <s v="37|2026-01-21"/>
        <s v="12|2026-01-18"/>
        <s v="3|2026-01-16"/>
        <s v="22|2026-01-10"/>
        <s v="13|2026-01-28"/>
        <s v="19|2026-01-06"/>
        <s v="26|2026-01-22"/>
        <s v="7|2026-01-17"/>
        <s v="1|2026-01-05"/>
        <s v="22|2026-01-13"/>
        <s v="17|2026-01-19"/>
        <s v="8|2026-01-12"/>
        <s v="20|2026-01-10"/>
        <s v="24|2026-01-04"/>
        <s v="10|2026-01-08"/>
        <s v="6|2026-01-08"/>
        <s v="33|2026-01-04"/>
        <s v="21|2026-01-19"/>
        <s v="38|2026-01-15"/>
        <s v="30|2026-01-03"/>
        <s v="4|2026-01-17"/>
        <s v="2|2026-01-15"/>
        <s v="38|2026-01-09"/>
        <s v="35|2026-01-02"/>
        <s v="3|2026-01-30"/>
        <s v="27|2026-01-14"/>
        <s v="25|2026-01-29"/>
        <s v="35|2026-01-28"/>
        <s v="1|2026-01-17"/>
        <s v="35|2026-01-01"/>
        <s v="16|2026-01-18"/>
        <s v="2|2026-01-26"/>
        <s v="16|2026-01-20"/>
        <s v="19|2026-01-25"/>
        <s v="37|2026-01-27"/>
        <s v="15|2026-01-29"/>
        <s v="28|2026-01-30"/>
        <s v="25|2026-01-16"/>
        <s v="31|2026-01-10"/>
        <s v="30|2026-01-28"/>
        <s v="6|2026-01-03"/>
        <s v="13|2026-01-20"/>
        <s v="14|2026-01-19"/>
        <s v="14|2026-01-07"/>
        <s v="35|2026-01-11"/>
        <s v="33|2026-01-12"/>
        <s v="21|2026-01-15"/>
        <s v="37|2026-01-12"/>
        <s v="10|2026-01-19"/>
        <s v="16|2026-01-11"/>
        <s v="32|2026-01-27"/>
        <s v="11|2026-01-06"/>
        <s v="35|2026-01-24"/>
        <s v="4|2026-01-02"/>
        <s v="15|2026-01-01"/>
        <s v="33|2026-01-23"/>
        <s v="40|2026-01-12"/>
        <s v="35|2026-01-22"/>
        <s v="18|2026-01-14"/>
        <s v="28|2026-01-10"/>
        <s v="16|2026-01-04"/>
        <s v="18|2026-01-20"/>
        <s v="37|2026-01-03"/>
        <s v="3|2026-01-23"/>
        <s v="31|2026-01-13"/>
        <s v="6|2026-01-21"/>
        <s v="31|2026-01-29"/>
        <s v="2|2026-01-22"/>
        <s v="5|2026-01-19"/>
        <s v="9|2026-01-29"/>
        <s v="4|2026-01-24"/>
        <s v="22|2026-01-14"/>
        <s v="21|2026-01-25"/>
        <s v="10|2026-01-05"/>
        <s v="6|2026-01-13"/>
        <s v="7|2026-01-10"/>
        <s v="6|2026-01-17"/>
        <s v="21|2026-01-18"/>
        <s v="6|2026-01-01"/>
        <s v="37|2026-01-29"/>
        <s v="9|2026-01-06"/>
        <s v="5|2026-01-10"/>
        <s v="31|2026-01-14"/>
        <s v="32|2026-01-03"/>
        <s v="7|2026-01-30"/>
        <s v="40|2026-01-11"/>
        <s v="28|2026-01-21"/>
        <s v="13|2026-01-21"/>
        <s v="19|2026-01-16"/>
        <s v="37|2026-01-23"/>
        <s v="36|2026-01-28"/>
        <s v="32|2026-01-13"/>
        <s v="10|2026-01-20"/>
        <s v="39|2026-01-23"/>
        <s v="23|2026-01-18"/>
        <s v="26|2026-01-02"/>
        <s v="17|2026-01-02"/>
        <s v="30|2026-01-12"/>
        <s v="10|2026-01-12"/>
        <s v="31|2026-01-12"/>
        <s v="27|2026-01-12"/>
        <s v="34|2026-01-12"/>
        <s v="29|2026-01-12"/>
        <s v="8|2026-01-02"/>
        <s v="16|2026-01-02"/>
        <s v="36|2026-01-02"/>
        <s v="15|2026-01-14"/>
        <s v="26|2026-01-14"/>
        <s v="14|2026-01-01"/>
        <s v="5|2026-01-01"/>
        <s v="32|2026-01-09"/>
        <s v="39|2026-01-09"/>
        <s v="23|2026-01-09"/>
        <s v="16|2026-01-23"/>
      </sharedItems>
    </cacheField>
    <cacheField name="merchant_daily_total_inr" numFmtId="0">
      <sharedItems containsSemiMixedTypes="0" containsString="0" containsNumber="1" containsInteger="1">
        <n v="2999.0"/>
        <n v="49.0"/>
        <n v="1798.0"/>
        <n v="898.0"/>
        <n v="99.0"/>
        <n v="799.0"/>
        <n v="299.0"/>
        <n v="548.0"/>
        <n v="198.0"/>
        <n v="1499.0"/>
        <n v="4498.0"/>
        <n v="897.0"/>
        <n v="1598.0"/>
        <n v="697.0"/>
        <n v="2497.0"/>
        <n v="1098.0"/>
        <n v="1648.0"/>
        <n v="98.0"/>
        <n v="149.0"/>
        <n v="148.0"/>
        <n v="4999.0"/>
        <n v="7998.0"/>
        <n v="348.0"/>
        <n v="499.0"/>
        <n v="1597.0"/>
        <n v="948.0"/>
        <n v="3896.0"/>
        <n v="398.0"/>
        <n v="1197.0"/>
        <n v="598.0"/>
        <n v="1998.0"/>
        <n v="3148.0"/>
        <n v="3298.0"/>
        <n v="497.0"/>
        <n v="448.0"/>
        <n v="1298.0"/>
        <n v="5048.0"/>
        <n v="5298.0"/>
        <n v="3797.0"/>
        <n v="9796.0"/>
        <n v="1647.0"/>
        <n v="247.0"/>
        <n v="1697.0"/>
        <n v="1548.0"/>
        <n v="798.0"/>
        <n v="248.0"/>
        <n v="648.0"/>
        <n v="3998.0"/>
        <n v="5798.0"/>
        <n v="1847.0"/>
        <n v="3048.0"/>
        <n v="1999.0"/>
        <n v="999.0"/>
        <n v="399.0"/>
      </sharedItems>
    </cacheField>
    <cacheField name="merchant_day_classification" numFmtId="0">
      <sharedItems>
        <s v="Standard Merchant Day"/>
        <s v="High-Value Merchant Day"/>
        <s v="High-Value East Merchant Day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548" sheet="Transactions"/>
  </cacheSource>
  <cacheFields>
    <cacheField name="transaction_id" numFmtId="0">
      <sharedItems>
        <s v="TXN100000"/>
        <s v="TXN100001"/>
        <s v="TXN100002"/>
        <s v="TXN100003"/>
        <s v="TXN100004"/>
        <s v="TXN100005"/>
        <s v="TXN100006"/>
        <s v="TXN100007"/>
        <s v="TXN100008"/>
        <s v="TXN100009"/>
        <s v="TXN100010"/>
        <s v="TXN100011"/>
        <s v="TXN100012"/>
        <s v="TXN100013"/>
        <s v="TXN100014"/>
        <s v="TXN100015"/>
        <s v="TXN100016"/>
        <s v="TXN100017"/>
        <s v="TXN100018"/>
        <s v="TXN100019"/>
        <s v="TXN100020"/>
        <s v="TXN100021"/>
        <s v="TXN100022"/>
        <s v="TXN100023"/>
        <s v="TXN100024"/>
        <s v="TXN100025"/>
        <s v="TXN100026"/>
        <s v="TXN100027"/>
        <s v="TXN100028"/>
        <s v="TXN100029"/>
        <s v="TXN100030"/>
        <s v="TXN100031"/>
        <s v="TXN100032"/>
        <s v="TXN100033"/>
        <s v="TXN100034"/>
        <s v="TXN100035"/>
        <s v="TXN100036"/>
        <s v="TXN100037"/>
        <s v="TXN100038"/>
        <s v="TXN100039"/>
        <s v="TXN100040"/>
        <s v="TXN100041"/>
        <s v="TXN100042"/>
        <s v="TXN100043"/>
        <s v="TXN100044"/>
        <s v="TXN100045"/>
        <s v="TXN100046"/>
        <s v="TXN100047"/>
        <s v="TXN100048"/>
        <s v="TXN100049"/>
        <s v="TXN100050"/>
        <s v="TXN100051"/>
        <s v="TXN100052"/>
        <s v="TXN100053"/>
        <s v="TXN100054"/>
        <s v="TXN100055"/>
        <s v="TXN100056"/>
        <s v="TXN100057"/>
        <s v="TXN100058"/>
        <s v="TXN100059"/>
        <s v="TXN100060"/>
        <s v="TXN100061"/>
        <s v="TXN100062"/>
        <s v="TXN100063"/>
        <s v="TXN100064"/>
        <s v="TXN100065"/>
        <s v="TXN100066"/>
        <s v="TXN100067"/>
        <s v="TXN100068"/>
        <s v="TXN100069"/>
        <s v="TXN100070"/>
        <s v="TXN100071"/>
        <s v="TXN100072"/>
        <s v="TXN100073"/>
        <s v="TXN100074"/>
        <s v="TXN100075"/>
        <s v="TXN100076"/>
        <s v="TXN100077"/>
        <s v="TXN100078"/>
        <s v="TXN100079"/>
        <s v="TXN100080"/>
        <s v="TXN100081"/>
        <s v="TXN100082"/>
        <s v="TXN100083"/>
        <s v="TXN100084"/>
        <s v="TXN100085"/>
        <s v="TXN100086"/>
        <s v="TXN100087"/>
        <s v="TXN100088"/>
        <s v="TXN100089"/>
        <s v="TXN100090"/>
        <s v="TXN100091"/>
        <s v="TXN100092"/>
        <s v="TXN100093"/>
        <s v="TXN100094"/>
        <s v="TXN100095"/>
        <s v="TXN100096"/>
        <s v="TXN100097"/>
        <s v="TXN100098"/>
        <s v="TXN100099"/>
        <s v="TXN100100"/>
        <s v="TXN100101"/>
        <s v="TXN100102"/>
        <s v="TXN100103"/>
        <s v="TXN100104"/>
        <s v="TXN100105"/>
        <s v="TXN100106"/>
        <s v="TXN100107"/>
        <s v="TXN100108"/>
        <s v="TXN100109"/>
        <s v="TXN100110"/>
        <s v="TXN100111"/>
        <s v="TXN100112"/>
        <s v="TXN100113"/>
        <s v="TXN100114"/>
        <s v="TXN100115"/>
        <s v="TXN100116"/>
        <s v="TXN100117"/>
        <s v="TXN100118"/>
        <s v="TXN100119"/>
        <s v="TXN100120"/>
        <s v="TXN100121"/>
        <s v="TXN100122"/>
        <s v="TXN100123"/>
        <s v="TXN100124"/>
        <s v="TXN100125"/>
        <s v="TXN100126"/>
        <s v="TXN100127"/>
        <s v="TXN100128"/>
        <s v="TXN100129"/>
        <s v="TXN100130"/>
        <s v="TXN100131"/>
        <s v="TXN100132"/>
        <s v="TXN100133"/>
        <s v="TXN100134"/>
        <s v="TXN100135"/>
        <s v="TXN100136"/>
        <s v="TXN100137"/>
        <s v="TXN100138"/>
        <s v="TXN100139"/>
        <s v="TXN100140"/>
        <s v="TXN100141"/>
        <s v="TXN100142"/>
        <s v="TXN100143"/>
        <s v="TXN100144"/>
        <s v="TXN100145"/>
        <s v="TXN100146"/>
        <s v="TXN100147"/>
        <s v="TXN100148"/>
        <s v="TXN100149"/>
        <s v="TXN100150"/>
        <s v="TXN100151"/>
        <s v="TXN100152"/>
        <s v="TXN100153"/>
        <s v="TXN100154"/>
        <s v="TXN100155"/>
        <s v="TXN100156"/>
        <s v="TXN100157"/>
        <s v="TXN100158"/>
        <s v="TXN100159"/>
        <s v="TXN100160"/>
        <s v="TXN100161"/>
        <s v="TXN100162"/>
        <s v="TXN100163"/>
        <s v="TXN100164"/>
        <s v="TXN100165"/>
        <s v="TXN100166"/>
        <s v="TXN100167"/>
        <s v="TXN100168"/>
        <s v="TXN100169"/>
        <s v="TXN100170"/>
        <s v="TXN100171"/>
        <s v="TXN100172"/>
        <s v="TXN100173"/>
        <s v="TXN100174"/>
        <s v="TXN100175"/>
        <s v="TXN100176"/>
        <s v="TXN100177"/>
        <s v="TXN100178"/>
        <s v="TXN100179"/>
        <s v="TXN100180"/>
        <s v="TXN100181"/>
        <s v="TXN100182"/>
        <s v="TXN100183"/>
        <s v="TXN100184"/>
        <s v="TXN100185"/>
        <s v="TXN100186"/>
        <s v="TXN100187"/>
        <s v="TXN100188"/>
        <s v="TXN100189"/>
        <s v="TXN100190"/>
        <s v="TXN100191"/>
        <s v="TXN100192"/>
        <s v="TXN100193"/>
        <s v="TXN100194"/>
        <s v="TXN100195"/>
        <s v="TXN100196"/>
        <s v="TXN100197"/>
        <s v="TXN100198"/>
        <s v="TXN100199"/>
        <s v="TXN100200"/>
        <s v="TXN100201"/>
        <s v="TXN100202"/>
        <s v="TXN100203"/>
        <s v="TXN100204"/>
        <s v="TXN100205"/>
        <s v="TXN100206"/>
        <s v="TXN100207"/>
        <s v="TXN100208"/>
        <s v="TXN100209"/>
        <s v="TXN100210"/>
        <s v="TXN100211"/>
        <s v="TXN100212"/>
        <s v="TXN100213"/>
        <s v="TXN100214"/>
        <s v="TXN100215"/>
        <s v="TXN100216"/>
        <s v="TXN100217"/>
        <s v="TXN100218"/>
        <s v="TXN100219"/>
        <s v="TXN100220"/>
        <s v="TXN100221"/>
        <s v="TXN100222"/>
        <s v="TXN100223"/>
        <s v="TXN100224"/>
        <s v="TXN100225"/>
        <s v="TXN100226"/>
        <s v="TXN100227"/>
        <s v="TXN100228"/>
        <s v="TXN100229"/>
        <s v="TXN100230"/>
        <s v="TXN100231"/>
        <s v="TXN100232"/>
        <s v="TXN100233"/>
        <s v="TXN100234"/>
        <s v="TXN100235"/>
        <s v="TXN100236"/>
        <s v="TXN100237"/>
        <s v="TXN100238"/>
        <s v="TXN100239"/>
        <s v="TXN100240"/>
        <s v="TXN100241"/>
        <s v="TXN100242"/>
        <s v="TXN100243"/>
        <s v="TXN100244"/>
        <s v="TXN100245"/>
        <s v="TXN100246"/>
        <s v="TXN100247"/>
        <s v="TXN100248"/>
        <s v="TXN100249"/>
        <s v="TXN100250"/>
        <s v="TXN100251"/>
        <s v="TXN100252"/>
        <s v="TXN100253"/>
        <s v="TXN100254"/>
        <s v="TXN100255"/>
        <s v="TXN100256"/>
        <s v="TXN100257"/>
        <s v="TXN100258"/>
        <s v="TXN100259"/>
        <s v="TXN100260"/>
        <s v="TXN100261"/>
        <s v="TXN100262"/>
        <s v="TXN100263"/>
        <s v="TXN100264"/>
        <s v="TXN100265"/>
        <s v="TXN100266"/>
        <s v="TXN100267"/>
        <s v="TXN100268"/>
        <s v="TXN100269"/>
        <s v="TXN100270"/>
        <s v="TXN100271"/>
        <s v="TXN100272"/>
        <s v="TXN100273"/>
        <s v="TXN100274"/>
        <s v="TXN100275"/>
        <s v="TXN100276"/>
        <s v="TXN100277"/>
        <s v="TXN100278"/>
        <s v="TXN100279"/>
        <s v="TXN100280"/>
        <s v="TXN100281"/>
        <s v="TXN100282"/>
        <s v="TXN100283"/>
        <s v="TXN100284"/>
        <s v="TXN100285"/>
        <s v="TXN100286"/>
        <s v="TXN100287"/>
        <s v="TXN100288"/>
        <s v="TXN100289"/>
        <s v="TXN100290"/>
        <s v="TXN100291"/>
        <s v="TXN100292"/>
        <s v="TXN100293"/>
        <s v="TXN100294"/>
        <s v="TXN100295"/>
        <s v="TXN100296"/>
        <s v="TXN100297"/>
        <s v="TXN100298"/>
        <s v="TXN100299"/>
        <s v="TXN100300"/>
        <s v="TXN100301"/>
        <s v="TXN100302"/>
        <s v="TXN100303"/>
        <s v="TXN100304"/>
        <s v="TXN100305"/>
        <s v="TXN100306"/>
        <s v="TXN100307"/>
        <s v="TXN100308"/>
        <s v="TXN100309"/>
        <s v="TXN100310"/>
        <s v="TXN100311"/>
        <s v="TXN100312"/>
        <s v="TXN100313"/>
        <s v="TXN100314"/>
        <s v="TXN100315"/>
        <s v="TXN100316"/>
        <s v="TXN100317"/>
        <s v="TXN100318"/>
        <s v="TXN100319"/>
        <s v="TXN100320"/>
        <s v="TXN100321"/>
        <s v="TXN100322"/>
        <s v="TXN100323"/>
        <s v="TXN100324"/>
        <s v="TXN100325"/>
        <s v="TXN100326"/>
        <s v="TXN100327"/>
        <s v="TXN100328"/>
        <s v="TXN100329"/>
        <s v="TXN100330"/>
        <s v="TXN100331"/>
        <s v="TXN100332"/>
        <s v="TXN100333"/>
        <s v="TXN100334"/>
        <s v="TXN100335"/>
        <s v="TXN100336"/>
        <s v="TXN100337"/>
        <s v="TXN100338"/>
        <s v="TXN100339"/>
        <s v="TXN100340"/>
        <s v="TXN100341"/>
        <s v="TXN100342"/>
        <s v="TXN100343"/>
        <s v="TXN100344"/>
        <s v="TXN100345"/>
        <s v="TXN100346"/>
        <s v="TXN100347"/>
        <s v="TXN100348"/>
        <s v="TXN100349"/>
        <s v="TXN100350"/>
        <s v="TXN100351"/>
        <s v="TXN100352"/>
        <s v="TXN100353"/>
        <s v="TXN100354"/>
        <s v="TXN100355"/>
        <s v="TXN100356"/>
        <s v="TXN100357"/>
        <s v="TXN100358"/>
        <s v="TXN100359"/>
        <s v="TXN100360"/>
        <s v="TXN100361"/>
        <s v="TXN100362"/>
        <s v="TXN100363"/>
        <s v="TXN100364"/>
        <s v="TXN100365"/>
        <s v="TXN100366"/>
        <s v="TXN100367"/>
        <s v="TXN100368"/>
        <s v="TXN100369"/>
        <s v="TXN100370"/>
        <s v="TXN100371"/>
        <s v="TXN100372"/>
        <s v="TXN100373"/>
        <s v="TXN100374"/>
        <s v="TXN100375"/>
        <s v="TXN100376"/>
        <s v="TXN100377"/>
        <s v="TXN100378"/>
        <s v="TXN100379"/>
        <s v="TXN100380"/>
        <s v="TXN100381"/>
        <s v="TXN100382"/>
        <s v="TXN100383"/>
        <s v="TXN100384"/>
        <s v="TXN100385"/>
        <s v="TXN100386"/>
        <s v="TXN100387"/>
        <s v="TXN100388"/>
        <s v="TXN100389"/>
        <s v="TXN100390"/>
        <s v="TXN100391"/>
        <s v="TXN100392"/>
        <s v="TXN100393"/>
        <s v="TXN100394"/>
        <s v="TXN100395"/>
        <s v="TXN100396"/>
        <s v="TXN100397"/>
        <s v="TXN100398"/>
        <s v="TXN100399"/>
        <s v="TXN100400"/>
        <s v="TXN100401"/>
        <s v="TXN100402"/>
        <s v="TXN100403"/>
        <s v="TXN100404"/>
        <s v="TXN100405"/>
        <s v="TXN100406"/>
        <s v="TXN100407"/>
        <s v="TXN100408"/>
        <s v="TXN100409"/>
        <s v="TXN100410"/>
        <s v="TXN100411"/>
        <s v="TXN100412"/>
        <s v="TXN100413"/>
        <s v="TXN100414"/>
        <s v="TXN100415"/>
        <s v="TXN100416"/>
        <s v="TXN100417"/>
        <s v="TXN100418"/>
        <s v="TXN100419"/>
        <s v="TXN100420"/>
        <s v="TXN100421"/>
        <s v="TXN100422"/>
        <s v="TXN100423"/>
        <s v="TXN100424"/>
        <s v="TXN100425"/>
        <s v="TXN100426"/>
        <s v="TXN100427"/>
        <s v="TXN100428"/>
        <s v="TXN100429"/>
        <s v="TXN100430"/>
        <s v="TXN100431"/>
        <s v="TXN100432"/>
        <s v="TXN100433"/>
        <s v="TXN100434"/>
        <s v="TXN100435"/>
        <s v="TXN100436"/>
        <s v="TXN100437"/>
        <s v="TXN100438"/>
        <s v="TXN100439"/>
        <s v="TXN100440"/>
        <s v="TXN100441"/>
        <s v="TXN100442"/>
        <s v="TXN100443"/>
        <s v="TXN100444"/>
        <s v="TXN100445"/>
        <s v="TXN100446"/>
        <s v="TXN100447"/>
        <s v="TXN100448"/>
        <s v="TXN100449"/>
        <s v="TXN100450"/>
        <s v="TXN100451"/>
        <s v="TXN100452"/>
        <s v="TXN100453"/>
        <s v="TXN100454"/>
        <s v="TXN100455"/>
        <s v="TXN100456"/>
        <s v="TXN100457"/>
        <s v="TXN100458"/>
        <s v="TXN100459"/>
        <s v="TXN100460"/>
        <s v="TXN100461"/>
        <s v="TXN100462"/>
        <s v="TXN100463"/>
        <s v="TXN100464"/>
        <s v="TXN100465"/>
        <s v="TXN100466"/>
        <s v="TXN100467"/>
        <s v="TXN100468"/>
        <s v="TXN100469"/>
        <s v="TXN100470"/>
        <s v="TXN100471"/>
        <s v="TXN100472"/>
        <s v="TXN100473"/>
        <s v="TXN100474"/>
        <s v="TXN100475"/>
        <s v="TXN100476"/>
        <s v="TXN100477"/>
        <s v="TXN100478"/>
        <s v="TXN100479"/>
        <s v="TXN100480"/>
        <s v="TXN100481"/>
        <s v="TXN100482"/>
        <s v="TXN100483"/>
        <s v="TXN100484"/>
        <s v="TXN100485"/>
        <s v="TXN100486"/>
        <s v="TXN100487"/>
        <s v="TXN100488"/>
        <s v="TXN100489"/>
        <s v="TXN100490"/>
        <s v="TXN100491"/>
        <s v="TXN100492"/>
        <s v="TXN100493"/>
        <s v="TXN100494"/>
        <s v="TXN100495"/>
        <s v="TXN100496"/>
        <s v="TXN100497"/>
        <s v="TXN100498"/>
        <s v="TXN100499"/>
        <s v="TXN200000"/>
        <s v="TXN200001"/>
        <s v="TXN200002"/>
        <s v="TXN200003"/>
        <s v="TXN200004"/>
        <s v="TXN200005"/>
        <s v="TXN200006"/>
        <s v="TXN200007"/>
        <s v="TXN200008"/>
        <s v="TXN200009"/>
        <s v="TXN200010"/>
        <s v="TXN200011"/>
        <s v="TXN200012"/>
        <s v="TXN200013"/>
        <s v="TXN200014"/>
        <s v="TXN300000"/>
        <s v="TXN300001"/>
        <s v="TXN300002"/>
        <s v="TXN300003"/>
        <s v="TXN300004"/>
        <s v="TXN300005"/>
        <s v="TXN300006"/>
        <s v="TXN300007"/>
        <s v="TXN300008"/>
        <s v="TXN300009"/>
        <s v="TXN300010"/>
        <s v="TXN300011"/>
        <s v="TXN300012"/>
        <s v="TXN300013"/>
        <s v="TXN300014"/>
        <s v="TXN300015"/>
        <s v="TXN300016"/>
        <s v="TXN300017"/>
        <s v="TXN300018"/>
        <s v="TXN300019"/>
        <s v="TXN300020"/>
        <s v="TXN300021"/>
        <s v="TXN300022"/>
        <s v="TXN300023"/>
        <s v="TXN300024"/>
        <s v="TXN300025"/>
        <s v="TXN300026"/>
        <s v="TXN300027"/>
        <s v="TXN300028"/>
        <s v="TXN300029"/>
        <s v="TXN300030"/>
        <s v="TXN300031"/>
      </sharedItems>
    </cacheField>
    <cacheField name="user_id" numFmtId="0">
      <sharedItems containsSemiMixedTypes="0" containsString="0" containsNumber="1" containsInteger="1">
        <n v="350.0"/>
        <n v="287.0"/>
        <n v="122.0"/>
        <n v="92.0"/>
        <n v="343.0"/>
        <n v="196.0"/>
        <n v="236.0"/>
        <n v="13.0"/>
        <n v="36.0"/>
        <n v="348.0"/>
        <n v="134.0"/>
        <n v="306.0"/>
        <n v="311.0"/>
        <n v="131.0"/>
        <n v="276.0"/>
        <n v="170.0"/>
        <n v="154.0"/>
        <n v="207.0"/>
        <n v="341.0"/>
        <n v="292.0"/>
        <n v="147.0"/>
        <n v="336.0"/>
        <n v="110.0"/>
        <n v="338.0"/>
        <n v="318.0"/>
        <n v="159.0"/>
        <n v="126.0"/>
        <n v="213.0"/>
        <n v="254.0"/>
        <n v="3.0"/>
        <n v="266.0"/>
        <n v="63.0"/>
        <n v="272.0"/>
        <n v="259.0"/>
        <n v="244.0"/>
        <n v="327.0"/>
        <n v="321.0"/>
        <n v="277.0"/>
        <n v="79.0"/>
        <n v="278.0"/>
        <n v="216.0"/>
        <n v="295.0"/>
        <n v="200.0"/>
        <n v="309.0"/>
        <n v="249.0"/>
        <n v="208.0"/>
        <n v="274.0"/>
        <n v="14.0"/>
        <n v="237.0"/>
        <n v="109.0"/>
        <n v="334.0"/>
        <n v="11.0"/>
        <n v="132.0"/>
        <n v="59.0"/>
        <n v="160.0"/>
        <n v="102.0"/>
        <n v="53.0"/>
        <n v="290.0"/>
        <n v="190.0"/>
        <n v="248.0"/>
        <n v="138.0"/>
        <n v="231.0"/>
        <n v="167.0"/>
        <n v="133.0"/>
        <n v="142.0"/>
        <n v="124.0"/>
        <n v="151.0"/>
        <n v="340.0"/>
        <n v="177.0"/>
        <n v="233.0"/>
        <n v="99.0"/>
        <n v="95.0"/>
        <n v="302.0"/>
        <n v="100.0"/>
        <n v="8.0"/>
        <n v="284.0"/>
        <n v="252.0"/>
        <n v="246.0"/>
        <n v="245.0"/>
        <n v="296.0"/>
        <n v="44.0"/>
        <n v="157.0"/>
        <n v="51.0"/>
        <n v="42.0"/>
        <n v="81.0"/>
        <n v="241.0"/>
        <n v="145.0"/>
        <n v="136.0"/>
        <n v="137.0"/>
        <n v="158.0"/>
        <n v="148.0"/>
        <n v="166.0"/>
        <n v="346.0"/>
        <n v="326.0"/>
        <n v="171.0"/>
        <n v="211.0"/>
        <n v="282.0"/>
        <n v="1.0"/>
        <n v="227.0"/>
        <n v="323.0"/>
        <n v="283.0"/>
        <n v="150.0"/>
        <n v="197.0"/>
        <n v="70.0"/>
        <n v="260.0"/>
        <n v="301.0"/>
        <n v="279.0"/>
        <n v="97.0"/>
        <n v="52.0"/>
        <n v="74.0"/>
        <n v="163.0"/>
        <n v="121.0"/>
        <n v="15.0"/>
        <n v="184.0"/>
        <n v="90.0"/>
        <n v="119.0"/>
        <n v="342.0"/>
        <n v="280.0"/>
        <n v="155.0"/>
        <n v="152.0"/>
        <n v="21.0"/>
        <n v="187.0"/>
        <n v="188.0"/>
        <n v="85.0"/>
        <n v="174.0"/>
        <n v="116.0"/>
        <n v="203.0"/>
        <n v="189.0"/>
        <n v="56.0"/>
        <n v="288.0"/>
        <n v="60.0"/>
        <n v="199.0"/>
        <n v="17.0"/>
        <n v="186.0"/>
        <n v="331.0"/>
        <n v="328.0"/>
        <n v="65.0"/>
        <n v="230.0"/>
        <n v="258.0"/>
        <n v="32.0"/>
        <n v="312.0"/>
        <n v="325.0"/>
        <n v="221.0"/>
        <n v="161.0"/>
        <n v="222.0"/>
        <n v="67.0"/>
        <n v="169.0"/>
        <n v="217.0"/>
        <n v="54.0"/>
        <n v="247.0"/>
        <n v="337.0"/>
        <n v="16.0"/>
        <n v="215.0"/>
        <n v="140.0"/>
        <n v="250.0"/>
        <n v="62.0"/>
        <n v="224.0"/>
        <n v="262.0"/>
        <n v="179.0"/>
        <n v="76.0"/>
        <n v="89.0"/>
        <n v="91.0"/>
        <n v="297.0"/>
        <n v="78.0"/>
        <n v="156.0"/>
        <n v="38.0"/>
        <n v="305.0"/>
        <n v="22.0"/>
        <n v="310.0"/>
        <n v="269.0"/>
        <n v="307.0"/>
        <n v="130.0"/>
        <n v="66.0"/>
        <n v="261.0"/>
        <n v="71.0"/>
        <n v="317.0"/>
        <n v="93.0"/>
        <n v="313.0"/>
        <n v="103.0"/>
        <n v="329.0"/>
        <n v="265.0"/>
        <n v="114.0"/>
        <n v="28.0"/>
        <n v="242.0"/>
        <n v="316.0"/>
        <n v="77.0"/>
        <n v="57.0"/>
        <n v="123.0"/>
        <n v="33.0"/>
        <n v="324.0"/>
        <n v="293.0"/>
        <n v="183.0"/>
        <n v="322.0"/>
        <n v="330.0"/>
        <n v="235.0"/>
        <n v="204.0"/>
        <n v="332.0"/>
        <n v="205.0"/>
        <n v="255.0"/>
        <n v="218.0"/>
        <n v="86.0"/>
        <n v="181.0"/>
        <n v="30.0"/>
        <n v="263.0"/>
        <n v="225.0"/>
        <n v="228.0"/>
        <n v="229.0"/>
        <n v="164.0"/>
        <n v="149.0"/>
        <n v="185.0"/>
        <n v="94.0"/>
        <n v="64.0"/>
        <n v="41.0"/>
        <n v="289.0"/>
        <n v="153.0"/>
        <n v="226.0"/>
        <n v="82.0"/>
        <n v="26.0"/>
        <n v="69.0"/>
        <n v="24.0"/>
        <n v="20.0"/>
        <n v="234.0"/>
        <n v="168.0"/>
        <n v="251.0"/>
        <n v="195.0"/>
        <n v="314.0"/>
        <n v="273.0"/>
        <n v="349.0"/>
        <n v="143.0"/>
        <n v="335.0"/>
        <n v="46.0"/>
        <n v="19.0"/>
        <n v="55.0"/>
        <n v="173.0"/>
        <n v="206.0"/>
        <n v="128.0"/>
        <n v="6.0"/>
        <n v="281.0"/>
        <n v="106.0"/>
        <n v="29.0"/>
        <n v="112.0"/>
        <n v="194.0"/>
        <n v="115.0"/>
        <n v="345.0"/>
        <n v="118.0"/>
        <n v="315.0"/>
        <n v="25.0"/>
        <n v="120.0"/>
        <n v="165.0"/>
        <n v="267.0"/>
        <n v="286.0"/>
        <n v="214.0"/>
        <n v="105.0"/>
        <n v="239.0"/>
        <n v="39.0"/>
        <n v="4.0"/>
        <n v="182.0"/>
        <n v="88.0"/>
        <n v="291.0"/>
        <n v="144.0"/>
        <n v="162.0"/>
        <n v="178.0"/>
        <n v="139.0"/>
        <n v="125.0"/>
        <n v="87.0"/>
        <n v="75.0"/>
        <n v="127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73.0"/>
      </sharedItems>
    </cacheField>
    <cacheField name="merchant_id" numFmtId="0">
      <sharedItems containsSemiMixedTypes="0" containsString="0" containsNumber="1" containsInteger="1">
        <n v="16.0"/>
        <n v="27.0"/>
        <n v="11.0"/>
        <n v="22.0"/>
        <n v="3.0"/>
        <n v="23.0"/>
        <n v="13.0"/>
        <n v="18.0"/>
        <n v="35.0"/>
        <n v="12.0"/>
        <n v="28.0"/>
        <n v="33.0"/>
        <n v="40.0"/>
        <n v="19.0"/>
        <n v="25.0"/>
        <n v="20.0"/>
        <n v="14.0"/>
        <n v="21.0"/>
        <n v="6.0"/>
        <n v="15.0"/>
        <n v="31.0"/>
        <n v="37.0"/>
        <n v="26.0"/>
        <n v="7.0"/>
        <n v="30.0"/>
        <n v="36.0"/>
        <n v="29.0"/>
        <n v="2.0"/>
        <n v="17.0"/>
        <n v="4.0"/>
        <n v="8.0"/>
        <n v="24.0"/>
        <n v="5.0"/>
        <n v="32.0"/>
        <n v="10.0"/>
        <n v="38.0"/>
        <n v="34.0"/>
        <n v="1.0"/>
        <n v="39.0"/>
        <n v="9.0"/>
      </sharedItems>
    </cacheField>
    <cacheField name="transaction_time" numFmtId="164">
      <sharedItems containsSemiMixedTypes="0" containsDate="1" containsString="0">
        <d v="2026-01-29T11:13:00Z"/>
        <d v="2026-01-04T11:49:00Z"/>
        <d v="2026-01-24T04:59:00Z"/>
        <d v="2026-01-29T13:01:00Z"/>
        <d v="2026-01-30T13:51:00Z"/>
        <d v="2026-01-06T22:06:00Z"/>
        <d v="2026-01-08T06:52:00Z"/>
        <d v="2026-01-27T07:14:00Z"/>
        <d v="2026-01-11T08:55:00Z"/>
        <d v="2026-01-21T16:25:00Z"/>
        <d v="2026-01-01T03:56:00Z"/>
        <d v="2026-01-09T01:06:00Z"/>
        <d v="2026-01-24T10:27:00Z"/>
        <d v="2026-01-13T18:12:00Z"/>
        <d v="2026-01-14T00:33:00Z"/>
        <d v="2026-01-14T02:42:00Z"/>
        <d v="2026-01-22T03:46:00Z"/>
        <d v="2026-01-22T13:20:00Z"/>
        <d v="2026-01-05T06:26:00Z"/>
        <d v="2026-01-24T05:39:00Z"/>
        <d v="2026-01-18T00:19:00Z"/>
        <d v="2026-01-26T18:38:00Z"/>
        <d v="2026-01-15T14:43:00Z"/>
        <d v="2026-01-26T23:10:00Z"/>
        <d v="2026-01-17T21:40:00Z"/>
        <d v="2026-01-27T07:43:00Z"/>
        <d v="2026-01-05T00:02:00Z"/>
        <d v="2026-01-28T02:29:00Z"/>
        <d v="2026-01-23T22:24:00Z"/>
        <d v="2026-01-05T20:44:00Z"/>
        <d v="2026-01-14T07:11:00Z"/>
        <d v="2026-01-18T07:58:00Z"/>
        <d v="2026-01-26T14:42:00Z"/>
        <d v="2026-01-11T14:39:00Z"/>
        <d v="2026-01-15T05:47:00Z"/>
        <d v="2026-01-25T07:53:00Z"/>
        <d v="2026-01-25T16:31:00Z"/>
        <d v="2026-01-15T02:45:00Z"/>
        <d v="2026-01-11T10:57:00Z"/>
        <d v="2026-01-05T07:24:00Z"/>
        <d v="2026-01-14T13:21:00Z"/>
        <d v="2026-01-02T06:53:00Z"/>
        <d v="2026-01-19T22:01:00Z"/>
        <d v="2026-01-01T11:19:00Z"/>
        <d v="2026-01-24T23:34:00Z"/>
        <d v="2026-01-08T08:27:00Z"/>
        <d v="2026-01-11T21:43:00Z"/>
        <d v="2026-01-30T04:39:00Z"/>
        <d v="2026-01-19T18:42:00Z"/>
        <d v="2026-01-14T04:55:00Z"/>
        <d v="2026-01-09T12:20:00Z"/>
        <d v="2026-01-11T12:17:00Z"/>
        <d v="2026-01-16T00:47:00Z"/>
        <d v="2026-01-08T20:04:00Z"/>
        <d v="2026-01-01T07:12:00Z"/>
        <d v="2026-01-08T04:30:00Z"/>
        <d v="2026-01-07T14:44:00Z"/>
        <d v="2026-01-20T19:47:00Z"/>
        <d v="2026-01-04T18:01:00Z"/>
        <d v="2026-01-30T12:25:00Z"/>
        <d v="2026-01-23T20:15:00Z"/>
        <d v="2026-01-20T03:50:00Z"/>
        <d v="2026-01-18T13:42:00Z"/>
        <d v="2026-01-21T10:00:00Z"/>
        <d v="2026-01-14T11:40:00Z"/>
        <d v="2026-01-06T23:33:00Z"/>
        <d v="2026-01-26T17:49:00Z"/>
        <d v="2026-01-27T23:37:00Z"/>
        <d v="2026-01-27T02:17:00Z"/>
        <d v="2026-01-15T18:39:00Z"/>
        <d v="2026-01-01T15:54:00Z"/>
        <d v="2026-01-07T11:51:00Z"/>
        <d v="2026-01-29T19:44:00Z"/>
        <d v="2026-01-17T06:05:00Z"/>
        <d v="2026-01-18T07:44:00Z"/>
        <d v="2026-01-26T00:05:00Z"/>
        <d v="2026-01-23T07:19:00Z"/>
        <d v="2026-01-16T17:33:00Z"/>
        <d v="2026-01-18T10:22:00Z"/>
        <d v="2026-01-09T07:07:00Z"/>
        <d v="2026-01-24T17:48:00Z"/>
        <d v="2026-01-24T15:17:00Z"/>
        <d v="2026-01-10T03:53:00Z"/>
        <d v="2026-01-12T05:19:00Z"/>
        <d v="2026-01-09T01:03:00Z"/>
        <d v="2026-01-05T20:55:00Z"/>
        <d v="2026-01-19T09:30:00Z"/>
        <d v="2026-01-06T01:16:00Z"/>
        <d v="2026-01-13T15:04:00Z"/>
        <d v="2026-01-05T18:19:00Z"/>
        <d v="2026-01-18T13:38:00Z"/>
        <d v="2026-01-25T16:24:00Z"/>
        <d v="2026-01-28T18:27:00Z"/>
        <d v="2026-01-02T19:47:00Z"/>
        <d v="2026-01-07T08:42:00Z"/>
        <d v="2026-01-06T17:04:00Z"/>
        <d v="2026-01-15T22:38:00Z"/>
        <d v="2026-01-08T09:45:00Z"/>
        <d v="2026-01-22T07:59:00Z"/>
        <d v="2026-01-26T06:27:00Z"/>
        <d v="2026-01-21T04:58:00Z"/>
        <d v="2026-01-02T05:50:00Z"/>
        <d v="2026-01-27T18:58:00Z"/>
        <d v="2026-01-15T22:19:00Z"/>
        <d v="2026-01-18T15:28:00Z"/>
        <d v="2026-01-29T13:47:00Z"/>
        <d v="2026-01-01T02:14:00Z"/>
        <d v="2026-01-01T21:52:00Z"/>
        <d v="2026-01-25T05:30:00Z"/>
        <d v="2026-01-06T18:27:00Z"/>
        <d v="2026-01-16T11:26:00Z"/>
        <d v="2026-01-04T05:21:00Z"/>
        <d v="2026-01-22T12:52:00Z"/>
        <d v="2026-01-03T10:16:00Z"/>
        <d v="2026-01-13T16:52:00Z"/>
        <d v="2026-01-14T01:12:00Z"/>
        <d v="2026-01-25T15:40:00Z"/>
        <d v="2026-01-09T17:08:00Z"/>
        <d v="2026-01-16T03:01:00Z"/>
        <d v="2026-01-23T05:19:00Z"/>
        <d v="2026-01-14T02:14:00Z"/>
        <d v="2026-01-21T04:31:00Z"/>
        <d v="2026-01-09T13:53:00Z"/>
        <d v="2026-01-15T17:09:00Z"/>
        <d v="2026-01-17T23:56:00Z"/>
        <d v="2026-01-25T13:21:00Z"/>
        <d v="2026-01-10T23:19:00Z"/>
        <d v="2026-01-16T04:28:00Z"/>
        <d v="2026-01-11T17:48:00Z"/>
        <d v="2026-01-30T10:55:00Z"/>
        <d v="2026-01-13T07:54:00Z"/>
        <d v="2026-01-24T15:45:00Z"/>
        <d v="2026-01-26T20:09:00Z"/>
        <d v="2026-01-17T18:21:00Z"/>
        <d v="2026-01-17T14:00:00Z"/>
        <d v="2026-01-05T02:30:00Z"/>
        <d v="2026-01-23T12:41:00Z"/>
        <d v="2026-01-28T17:24:00Z"/>
        <d v="2026-01-02T19:04:00Z"/>
        <d v="2026-01-24T02:27:00Z"/>
        <d v="2026-01-06T22:19:00Z"/>
        <d v="2026-01-26T01:18:00Z"/>
        <d v="2026-01-05T07:33:00Z"/>
        <d v="2026-01-26T05:10:00Z"/>
        <d v="2026-01-28T12:39:00Z"/>
        <d v="2026-01-30T18:09:00Z"/>
        <d v="2026-01-09T14:16:00Z"/>
        <d v="2026-01-29T09:43:00Z"/>
        <d v="2026-01-15T11:37:00Z"/>
        <d v="2026-01-09T14:54:00Z"/>
        <d v="2026-01-28T15:06:00Z"/>
        <d v="2026-01-12T18:18:00Z"/>
        <d v="2026-01-13T08:00:00Z"/>
        <d v="2026-01-24T15:53:00Z"/>
        <d v="2026-01-26T11:14:00Z"/>
        <d v="2026-01-09T21:48:00Z"/>
        <d v="2026-01-04T20:41:00Z"/>
        <d v="2026-01-15T01:37:00Z"/>
        <d v="2026-01-30T09:20:00Z"/>
        <d v="2026-01-05T17:56:00Z"/>
        <d v="2026-01-30T08:53:00Z"/>
        <d v="2026-01-26T09:47:00Z"/>
        <d v="2026-01-03T04:48:00Z"/>
        <d v="2026-01-12T02:50:00Z"/>
        <d v="2026-01-18T03:29:00Z"/>
        <d v="2026-01-13T20:23:00Z"/>
        <d v="2026-01-01T19:56:00Z"/>
        <d v="2026-01-10T20:26:00Z"/>
        <d v="2026-01-02T09:31:00Z"/>
        <d v="2026-01-29T17:08:00Z"/>
        <d v="2026-01-22T23:44:00Z"/>
        <d v="2026-01-24T23:09:00Z"/>
        <d v="2026-01-20T13:17:00Z"/>
        <d v="2026-01-15T14:15:00Z"/>
        <d v="2026-01-12T17:57:00Z"/>
        <d v="2026-01-13T08:12:00Z"/>
        <d v="2026-01-22T06:41:00Z"/>
        <d v="2026-01-02T10:15:00Z"/>
        <d v="2026-01-03T17:13:00Z"/>
        <d v="2026-01-11T04:50:00Z"/>
        <d v="2026-01-28T04:08:00Z"/>
        <d v="2026-01-04T21:55:00Z"/>
        <d v="2026-01-12T07:37:00Z"/>
        <d v="2026-01-09T01:08:00Z"/>
        <d v="2026-01-24T02:30:00Z"/>
        <d v="2026-01-19T03:28:00Z"/>
        <d v="2026-01-02T23:50:00Z"/>
        <d v="2026-01-15T20:01:00Z"/>
        <d v="2026-01-14T21:06:00Z"/>
        <d v="2026-01-29T02:20:00Z"/>
        <d v="2026-01-05T08:39:00Z"/>
        <d v="2026-01-23T10:24:00Z"/>
        <d v="2026-01-15T16:38:00Z"/>
        <d v="2026-01-15T07:26:00Z"/>
        <d v="2026-01-14T23:06:00Z"/>
        <d v="2026-01-22T08:23:00Z"/>
        <d v="2026-01-03T02:05:00Z"/>
        <d v="2026-01-24T11:51:00Z"/>
        <d v="2026-01-19T17:35:00Z"/>
        <d v="2026-01-12T21:48:00Z"/>
        <d v="2026-01-20T09:22:00Z"/>
        <d v="2026-01-07T04:42:00Z"/>
        <d v="2026-01-12T17:23:00Z"/>
        <d v="2026-01-08T13:54:00Z"/>
        <d v="2026-01-22T20:35:00Z"/>
        <d v="2026-01-27T22:17:00Z"/>
        <d v="2026-01-23T09:58:00Z"/>
        <d v="2026-01-06T04:36:00Z"/>
        <d v="2026-01-05T23:40:00Z"/>
        <d v="2026-01-17T06:24:00Z"/>
        <d v="2026-01-06T11:19:00Z"/>
        <d v="2026-01-03T01:09:00Z"/>
        <d v="2026-01-22T02:17:00Z"/>
        <d v="2026-01-20T14:26:00Z"/>
        <d v="2026-01-17T03:22:00Z"/>
        <d v="2026-01-22T21:37:00Z"/>
        <d v="2026-01-10T01:14:00Z"/>
        <d v="2026-01-01T06:19:00Z"/>
        <d v="2026-01-09T09:20:00Z"/>
        <d v="2026-01-24T13:11:00Z"/>
        <d v="2026-01-23T07:32:00Z"/>
        <d v="2026-01-13T23:02:00Z"/>
        <d v="2026-01-30T02:55:00Z"/>
        <d v="2026-01-19T12:45:00Z"/>
        <d v="2026-01-04T12:01:00Z"/>
        <d v="2026-01-15T22:58:00Z"/>
        <d v="2026-01-28T03:15:00Z"/>
        <d v="2026-01-17T02:25:00Z"/>
        <d v="2026-01-11T05:04:00Z"/>
        <d v="2026-01-17T06:57:00Z"/>
        <d v="2026-01-27T20:52:00Z"/>
        <d v="2026-01-05T08:12:00Z"/>
        <d v="2026-01-25T20:04:00Z"/>
        <d v="2026-01-25T18:48:00Z"/>
        <d v="2026-01-30T18:41:00Z"/>
        <d v="2026-01-28T20:20:00Z"/>
        <d v="2026-01-16T14:40:00Z"/>
        <d v="2026-01-02T11:32:00Z"/>
        <d v="2026-01-15T01:03:00Z"/>
        <d v="2026-01-21T02:39:00Z"/>
        <d v="2026-01-15T18:35:00Z"/>
        <d v="2026-01-21T06:20:00Z"/>
        <d v="2026-01-05T01:28:00Z"/>
        <d v="2026-01-03T16:41:00Z"/>
        <d v="2026-01-23T14:28:00Z"/>
        <d v="2026-01-06T11:23:00Z"/>
        <d v="2026-01-25T10:43:00Z"/>
        <d v="2026-01-21T10:04:00Z"/>
        <d v="2026-01-22T12:18:00Z"/>
        <d v="2026-01-11T02:37:00Z"/>
        <d v="2026-01-10T20:44:00Z"/>
        <d v="2026-01-20T22:05:00Z"/>
        <d v="2026-01-21T10:52:00Z"/>
        <d v="2026-01-21T21:27:00Z"/>
        <d v="2026-01-12T09:11:00Z"/>
        <d v="2026-01-16T06:14:00Z"/>
        <d v="2026-01-10T03:32:00Z"/>
        <d v="2026-01-22T10:56:00Z"/>
        <d v="2026-01-13T04:10:00Z"/>
        <d v="2026-01-24T14:02:00Z"/>
        <d v="2026-01-24T07:28:00Z"/>
        <d v="2026-01-24T14:14:00Z"/>
        <d v="2026-01-26T15:57:00Z"/>
        <d v="2026-01-19T14:29:00Z"/>
        <d v="2026-01-17T13:10:00Z"/>
        <d v="2026-01-28T08:03:00Z"/>
        <d v="2026-01-18T03:45:00Z"/>
        <d v="2026-01-03T05:17:00Z"/>
        <d v="2026-01-27T13:05:00Z"/>
        <d v="2026-01-30T00:26:00Z"/>
        <d v="2026-01-12T07:24:00Z"/>
        <d v="2026-01-01T10:59:00Z"/>
        <d v="2026-01-05T01:18:00Z"/>
        <d v="2026-01-23T15:28:00Z"/>
        <d v="2026-01-01T08:13:00Z"/>
        <d v="2026-01-20T16:27:00Z"/>
        <d v="2026-01-10T03:03:00Z"/>
        <d v="2026-01-26T19:29:00Z"/>
        <d v="2026-01-20T17:01:00Z"/>
        <d v="2026-01-08T22:09:00Z"/>
        <d v="2026-01-20T11:15:00Z"/>
        <d v="2026-01-22T21:05:00Z"/>
        <d v="2026-01-17T17:32:00Z"/>
        <d v="2026-01-13T15:02:00Z"/>
        <d v="2026-01-09T23:01:00Z"/>
        <d v="2026-01-08T23:42:00Z"/>
        <d v="2026-01-19T23:48:00Z"/>
        <d v="2026-01-12T17:21:00Z"/>
        <d v="2026-01-22T14:44:00Z"/>
        <d v="2026-01-03T22:49:00Z"/>
        <d v="2026-01-07T01:50:00Z"/>
        <d v="2026-01-30T09:32:00Z"/>
        <d v="2026-01-09T01:48:00Z"/>
        <d v="2026-01-12T01:55:00Z"/>
        <d v="2026-01-04T11:27:00Z"/>
        <d v="2026-01-11T05:31:00Z"/>
        <d v="2026-01-09T02:46:00Z"/>
        <d v="2026-01-20T05:34:00Z"/>
        <d v="2026-01-03T10:42:00Z"/>
        <d v="2026-01-20T22:27:00Z"/>
        <d v="2026-01-15T01:46:00Z"/>
        <d v="2026-01-09T20:50:00Z"/>
        <d v="2026-01-21T12:23:00Z"/>
        <d v="2026-01-05T19:43:00Z"/>
        <d v="2026-01-03T07:49:00Z"/>
        <d v="2026-01-13T18:02:00Z"/>
        <d v="2026-01-15T11:23:00Z"/>
        <d v="2026-01-05T16:23:00Z"/>
        <d v="2026-01-17T12:58:00Z"/>
        <d v="2026-01-25T08:45:00Z"/>
        <d v="2026-01-10T22:58:00Z"/>
        <d v="2026-01-05T02:28:00Z"/>
        <d v="2026-01-26T21:54:00Z"/>
        <d v="2026-01-03T17:34:00Z"/>
        <d v="2026-01-23T22:59:00Z"/>
        <d v="2026-01-17T07:07:00Z"/>
        <d v="2026-01-26T15:01:00Z"/>
        <d v="2026-01-12T14:51:00Z"/>
        <d v="2026-01-29T02:04:00Z"/>
        <d v="2026-01-24T15:33:00Z"/>
        <d v="2026-01-03T04:20:00Z"/>
        <d v="2026-01-15T21:33:00Z"/>
        <d v="2026-01-18T20:37:00Z"/>
        <d v="2026-01-17T01:53:00Z"/>
        <d v="2026-01-10T05:10:00Z"/>
        <d v="2026-01-17T09:54:00Z"/>
        <d v="2026-01-21T17:17:00Z"/>
        <d v="2026-01-18T02:32:00Z"/>
        <d v="2026-01-19T04:10:00Z"/>
        <d v="2026-01-29T19:21:00Z"/>
        <d v="2026-01-03T01:41:00Z"/>
        <d v="2026-01-07T18:26:00Z"/>
        <d v="2026-01-29T20:34:00Z"/>
        <d v="2026-01-08T21:25:00Z"/>
        <d v="2026-01-23T01:10:00Z"/>
        <d v="2026-01-15T06:21:00Z"/>
        <d v="2026-01-28T22:20:00Z"/>
        <d v="2026-01-25T11:32:00Z"/>
        <d v="2026-01-08T14:07:00Z"/>
        <d v="2026-01-05T03:03:00Z"/>
        <d v="2026-01-14T07:55:00Z"/>
        <d v="2026-01-24T10:12:00Z"/>
        <d v="2026-01-15T15:56:00Z"/>
        <d v="2026-01-03T12:32:00Z"/>
        <d v="2026-01-19T11:03:00Z"/>
        <d v="2026-01-20T20:43:00Z"/>
        <d v="2026-01-01T03:27:00Z"/>
        <d v="2026-01-12T12:23:00Z"/>
        <d v="2026-01-19T17:12:00Z"/>
        <d v="2026-01-27T19:43:00Z"/>
        <d v="2026-01-04T12:23:00Z"/>
        <d v="2026-01-25T04:12:00Z"/>
        <d v="2026-01-17T01:02:00Z"/>
        <d v="2026-01-11T15:33:00Z"/>
        <d v="2026-01-29T16:08:00Z"/>
        <d v="2026-01-06T12:39:00Z"/>
        <d v="2026-01-17T16:34:00Z"/>
        <d v="2026-01-16T00:23:00Z"/>
        <d v="2026-01-19T09:50:00Z"/>
        <d v="2026-01-16T08:41:00Z"/>
        <d v="2026-01-24T01:37:00Z"/>
        <d v="2026-01-21T23:39:00Z"/>
        <d v="2026-01-08T01:36:00Z"/>
        <d v="2026-01-15T10:26:00Z"/>
        <d v="2026-01-07T13:32:00Z"/>
        <d v="2026-01-24T01:45:00Z"/>
        <d v="2026-01-18T10:42:00Z"/>
        <d v="2026-01-11T05:29:00Z"/>
        <d v="2026-01-12T21:49:00Z"/>
        <d v="2026-01-16T06:15:00Z"/>
        <d v="2026-01-08T09:49:00Z"/>
        <d v="2026-01-23T15:20:00Z"/>
        <d v="2026-01-30T23:17:00Z"/>
        <d v="2026-01-22T17:24:00Z"/>
        <d v="2026-01-26T04:18:00Z"/>
        <d v="2026-01-03T11:59:00Z"/>
        <d v="2026-01-16T06:12:00Z"/>
        <d v="2026-01-23T08:08:00Z"/>
        <d v="2026-01-19T07:15:00Z"/>
        <d v="2026-01-21T07:03:00Z"/>
        <d v="2026-01-23T15:06:00Z"/>
        <d v="2026-01-18T05:26:00Z"/>
        <d v="2026-01-21T06:48:00Z"/>
        <d v="2026-01-21T01:58:00Z"/>
        <d v="2026-01-18T23:46:00Z"/>
        <d v="2026-01-29T05:59:00Z"/>
        <d v="2026-01-16T05:59:00Z"/>
        <d v="2026-01-10T18:38:00Z"/>
        <d v="2026-01-15T20:34:00Z"/>
        <d v="2026-01-28T16:29:00Z"/>
        <d v="2026-01-11T05:46:00Z"/>
        <d v="2026-01-06T00:47:00Z"/>
        <d v="2026-01-22T06:11:00Z"/>
        <d v="2026-01-17T10:05:00Z"/>
        <d v="2026-01-05T15:20:00Z"/>
        <d v="2026-01-13T07:28:00Z"/>
        <d v="2026-01-19T23:36:00Z"/>
        <d v="2026-01-12T22:15:00Z"/>
        <d v="2026-01-10T05:25:00Z"/>
        <d v="2026-01-04T20:58:00Z"/>
        <d v="2026-01-08T07:08:00Z"/>
        <d v="2026-01-24T19:23:00Z"/>
        <d v="2026-01-25T17:51:00Z"/>
        <d v="2026-01-08T21:48:00Z"/>
        <d v="2026-01-15T16:45:00Z"/>
        <d v="2026-01-04T01:53:00Z"/>
        <d v="2026-01-19T17:09:00Z"/>
        <d v="2026-01-15T03:43:00Z"/>
        <d v="2026-01-03T16:28:00Z"/>
        <d v="2026-01-17T13:29:00Z"/>
        <d v="2026-01-15T21:51:00Z"/>
        <d v="2026-01-09T00:47:00Z"/>
        <d v="2026-01-02T13:22:00Z"/>
        <d v="2026-01-30T02:59:00Z"/>
        <d v="2026-01-14T05:49:00Z"/>
        <d v="2026-01-29T12:28:00Z"/>
        <d v="2026-01-22T21:55:00Z"/>
        <d v="2026-01-28T11:07:00Z"/>
        <d v="2026-01-17T04:46:00Z"/>
        <d v="2026-01-01T09:29:00Z"/>
        <d v="2026-01-18T12:52:00Z"/>
        <d v="2026-01-12T04:17:00Z"/>
        <d v="2026-01-26T21:26:00Z"/>
        <d v="2026-01-07T02:06:00Z"/>
        <d v="2026-01-20T21:45:00Z"/>
        <d v="2026-01-02T12:28:00Z"/>
        <d v="2026-01-25T01:08:00Z"/>
        <d v="2026-01-27T23:36:00Z"/>
        <d v="2026-01-25T21:52:00Z"/>
        <d v="2026-01-29T04:42:00Z"/>
        <d v="2026-01-10T08:03:00Z"/>
        <d v="2026-01-30T05:40:00Z"/>
        <d v="2026-01-16T01:22:00Z"/>
        <d v="2026-01-17T10:44:00Z"/>
        <d v="2026-01-10T12:11:00Z"/>
        <d v="2026-01-28T07:19:00Z"/>
        <d v="2026-01-18T13:26:00Z"/>
        <d v="2026-01-13T07:16:00Z"/>
        <d v="2026-01-03T14:54:00Z"/>
        <d v="2026-01-24T06:03:00Z"/>
        <d v="2026-01-20T19:02:00Z"/>
        <d v="2026-01-19T23:42:00Z"/>
        <d v="2026-01-07T10:19:00Z"/>
        <d v="2026-01-24T03:47:00Z"/>
        <d v="2026-01-20T22:13:00Z"/>
        <d v="2026-01-11T09:24:00Z"/>
        <d v="2026-01-12T09:16:00Z"/>
        <d v="2026-01-15T03:51:00Z"/>
        <d v="2026-01-12T10:26:00Z"/>
        <d v="2026-01-24T04:01:00Z"/>
        <d v="2026-01-19T23:26:00Z"/>
        <d v="2026-01-11T07:24:00Z"/>
        <d v="2026-01-18T20:43:00Z"/>
        <d v="2026-01-27T15:46:00Z"/>
        <d v="2026-01-06T23:50:00Z"/>
        <d v="2026-01-24T17:31:00Z"/>
        <d v="2026-01-02T16:02:00Z"/>
        <d v="2026-01-01T13:08:00Z"/>
        <d v="2026-01-23T04:00:00Z"/>
        <d v="2026-01-12T01:39:00Z"/>
        <d v="2026-01-22T15:01:00Z"/>
        <d v="2026-01-14T00:01:00Z"/>
        <d v="2026-01-10T00:32:00Z"/>
        <d v="2026-01-04T03:33:00Z"/>
        <d v="2026-01-20T16:16:00Z"/>
        <d v="2026-01-03T11:25:00Z"/>
        <d v="2026-01-13T12:24:00Z"/>
        <d v="2026-01-21T00:44:00Z"/>
        <d v="2026-01-28T13:41:00Z"/>
        <d v="2026-01-29T16:58:00Z"/>
        <d v="2026-01-29T22:56:00Z"/>
        <d v="2026-01-02T02:43:00Z"/>
        <d v="2026-01-22T01:11:00Z"/>
        <d v="2026-01-19T04:48:00Z"/>
        <d v="2026-01-06T18:15:00Z"/>
        <d v="2026-01-29T17:21:00Z"/>
        <d v="2026-01-24T02:32:00Z"/>
        <d v="2026-01-14T07:53:00Z"/>
        <d v="2026-01-25T19:38:00Z"/>
        <d v="2026-01-21T08:50:00Z"/>
        <d v="2026-01-12T17:24:00Z"/>
        <d v="2026-01-19T21:24:00Z"/>
        <d v="2026-01-26T07:45:00Z"/>
        <d v="2026-01-05T12:45:00Z"/>
        <d v="2026-01-13T10:23:00Z"/>
        <d v="2026-01-10T14:23:00Z"/>
        <d v="2026-01-03T05:27:00Z"/>
        <d v="2026-01-17T13:06:00Z"/>
        <d v="2026-01-18T02:38:00Z"/>
        <d v="2026-01-01T09:26:00Z"/>
        <d v="2026-01-29T17:57:00Z"/>
        <d v="2026-01-06T21:24:00Z"/>
        <d v="2026-01-10T08:31:00Z"/>
        <d v="2026-01-14T08:26:00Z"/>
        <d v="2026-01-03T11:16:00Z"/>
        <d v="2026-01-30T06:00:00Z"/>
        <d v="2026-01-11T12:00:00Z"/>
        <d v="2026-01-21T14:00:00Z"/>
        <d v="2026-01-21T19:00:00Z"/>
        <d v="2026-01-16T12:00:00Z"/>
        <d v="2026-01-29T07:00:00Z"/>
        <d v="2026-01-23T11:00:00Z"/>
        <d v="2026-01-28T05:00:00Z"/>
        <d v="2026-01-25T22:00:00Z"/>
        <d v="2026-01-13T13:00:00Z"/>
        <d v="2026-01-20T07:00:00Z"/>
        <d v="2026-01-23T02:00:00Z"/>
        <d v="2026-01-23T17:00:00Z"/>
        <d v="2026-01-22T22:00:00Z"/>
        <d v="2026-01-18T21:00:00Z"/>
        <d v="2026-01-02T18:00:00Z"/>
        <d v="2026-01-02T18:01:00Z"/>
        <d v="2026-01-02T18:02:00Z"/>
        <d v="2026-01-02T18:03:00Z"/>
        <d v="2026-01-12T12:00:00Z"/>
        <d v="2026-01-12T12:01:00Z"/>
        <d v="2026-01-12T12:02:00Z"/>
        <d v="2026-01-12T12:03:00Z"/>
        <d v="2026-01-12T09:00:00Z"/>
        <d v="2026-01-12T09:01:00Z"/>
        <d v="2026-01-12T09:02:00Z"/>
        <d v="2026-01-12T09:03:00Z"/>
        <d v="2026-01-02T22:00:00Z"/>
        <d v="2026-01-02T22:01:00Z"/>
        <d v="2026-01-02T22:02:00Z"/>
        <d v="2026-01-02T22:03:00Z"/>
        <d v="2026-01-14T14:00:00Z"/>
        <d v="2026-01-14T14:01:00Z"/>
        <d v="2026-01-14T14:02:00Z"/>
        <d v="2026-01-14T14:03:00Z"/>
        <d v="2026-01-01T22:00:00Z"/>
        <d v="2026-01-01T22:01:00Z"/>
        <d v="2026-01-01T22:02:00Z"/>
        <d v="2026-01-01T22:03:00Z"/>
        <d v="2026-01-09T21:00:00Z"/>
        <d v="2026-01-09T21:01:00Z"/>
        <d v="2026-01-09T21:02:00Z"/>
        <d v="2026-01-09T21:03:00Z"/>
        <d v="2026-01-23T09:00:00Z"/>
        <d v="2026-01-23T09:01:00Z"/>
        <d v="2026-01-23T09:02:00Z"/>
        <d v="2026-01-23T09:03:00Z"/>
      </sharedItems>
    </cacheField>
    <cacheField name="amount_inr" numFmtId="0">
      <sharedItems containsSemiMixedTypes="0" containsString="0" containsNumber="1" containsInteger="1">
        <n v="2999.0"/>
        <n v="49.0"/>
        <n v="1499.0"/>
        <n v="99.0"/>
        <n v="799.0"/>
        <n v="299.0"/>
        <n v="499.0"/>
        <n v="149.0"/>
        <n v="4999.0"/>
        <n v="1999.0"/>
        <n v="999.0"/>
        <n v="399.0"/>
      </sharedItems>
    </cacheField>
    <cacheField name="payment_method" numFmtId="0">
      <sharedItems>
        <s v="Wallet"/>
        <s v="UPI"/>
        <s v="Netbanking"/>
        <s v="Card"/>
      </sharedItems>
    </cacheField>
    <cacheField name="status" numFmtId="0">
      <sharedItems>
        <s v="captured"/>
        <s v="failed"/>
        <s v="chargeback"/>
      </sharedItems>
    </cacheField>
    <cacheField name="risk_score" numFmtId="0">
      <sharedItems containsSemiMixedTypes="0" containsString="0" containsNumber="1" containsInteger="1">
        <n v="85.0"/>
        <n v="79.0"/>
        <n v="22.0"/>
        <n v="100.0"/>
        <n v="34.0"/>
        <n v="60.0"/>
        <n v="39.0"/>
        <n v="51.0"/>
        <n v="44.0"/>
        <n v="42.0"/>
        <n v="74.0"/>
        <n v="14.0"/>
        <n v="90.0"/>
        <n v="46.0"/>
        <n v="40.0"/>
        <n v="70.0"/>
        <n v="86.0"/>
        <n v="55.0"/>
        <n v="59.0"/>
        <n v="36.0"/>
        <n v="11.0"/>
        <n v="25.0"/>
        <n v="78.0"/>
        <n v="24.0"/>
        <n v="31.0"/>
        <n v="99.0"/>
        <n v="6.0"/>
        <n v="17.0"/>
        <n v="76.0"/>
        <n v="33.0"/>
        <n v="98.0"/>
        <n v="35.0"/>
        <n v="8.0"/>
        <n v="53.0"/>
        <n v="61.0"/>
        <n v="68.0"/>
        <n v="62.0"/>
        <n v="49.0"/>
        <n v="50.0"/>
        <n v="82.0"/>
        <n v="41.0"/>
        <n v="10.0"/>
        <n v="96.0"/>
        <n v="19.0"/>
        <n v="72.0"/>
        <n v="21.0"/>
        <n v="75.0"/>
        <n v="87.0"/>
        <n v="64.0"/>
        <n v="13.0"/>
        <n v="43.0"/>
        <n v="1.0"/>
        <n v="57.0"/>
        <n v="47.0"/>
        <n v="95.0"/>
        <n v="15.0"/>
        <n v="27.0"/>
        <n v="29.0"/>
        <n v="16.0"/>
        <n v="89.0"/>
        <n v="28.0"/>
        <n v="38.0"/>
        <n v="80.0"/>
        <n v="30.0"/>
        <n v="52.0"/>
        <n v="4.0"/>
        <n v="9.0"/>
        <n v="84.0"/>
        <n v="5.0"/>
        <n v="32.0"/>
        <n v="58.0"/>
        <n v="26.0"/>
        <n v="0.0"/>
        <n v="73.0"/>
        <n v="12.0"/>
        <n v="83.0"/>
        <n v="69.0"/>
        <n v="56.0"/>
        <n v="63.0"/>
        <n v="81.0"/>
        <n v="88.0"/>
        <n v="77.0"/>
        <n v="71.0"/>
        <n v="7.0"/>
        <n v="2.0"/>
        <n v="65.0"/>
        <n v="37.0"/>
        <n v="97.0"/>
        <n v="54.0"/>
        <n v="67.0"/>
        <n v="93.0"/>
        <n v="91.0"/>
        <n v="48.0"/>
        <n v="18.0"/>
        <n v="23.0"/>
        <n v="66.0"/>
        <n v="3.0"/>
        <n v="20.0"/>
        <n v="92.0"/>
        <n v="94.0"/>
        <n v="45.0"/>
      </sharedItems>
    </cacheField>
    <cacheField name="merchant_name" numFmtId="0">
      <sharedItems>
        <s v="Merchant_016"/>
        <s v="Merchant_027"/>
        <s v="Merchant_011"/>
        <s v="Merchant_022"/>
        <s v="Merchant_003"/>
        <s v="Merchant_023"/>
        <s v="Merchant_013"/>
        <s v="Merchant_018"/>
        <s v="Merchant_035"/>
        <s v="Merchant_012"/>
        <s v="Merchant_028"/>
        <s v="Merchant_033"/>
        <s v="Merchant_040"/>
        <s v="Merchant_019"/>
        <s v="Merchant_025"/>
        <s v="Merchant_020"/>
        <s v="Merchant_014"/>
        <s v="Merchant_021"/>
        <s v="Merchant_006"/>
        <s v="Merchant_015"/>
        <s v="Merchant_031"/>
        <s v="Merchant_037"/>
        <s v="Merchant_026"/>
        <s v="Merchant_007"/>
        <s v="Merchant_030"/>
        <s v="Merchant_036"/>
        <s v="Merchant_029"/>
        <s v="Merchant_002"/>
        <s v="Merchant_017"/>
        <s v="Merchant_004"/>
        <s v="Merchant_008"/>
        <s v="Merchant_024"/>
        <s v="Merchant_005"/>
        <s v="Merchant_032"/>
        <s v="Merchant_010"/>
        <s v="Merchant_038"/>
        <s v="Merchant_034"/>
        <s v="Merchant_001"/>
        <s v="Merchant_039"/>
        <s v="Merchant_009"/>
      </sharedItems>
    </cacheField>
    <cacheField name="category" numFmtId="0">
      <sharedItems>
        <s v="bill_payment"/>
        <s v="ecommerce"/>
        <s v="travel"/>
        <s v="grocery"/>
        <s v="recharge"/>
        <s v="entertainment"/>
        <s v="food_delivery"/>
      </sharedItems>
    </cacheField>
    <cacheField name="region" numFmtId="0">
      <sharedItems>
        <s v="West"/>
        <s v="North"/>
        <s v="South"/>
        <s v="East"/>
      </sharedItems>
    </cacheField>
    <cacheField name="illustrative_fee_pct" numFmtId="0">
      <sharedItems containsSemiMixedTypes="0" containsString="0" containsNumber="1">
        <n v="0.005"/>
        <n v="0.0"/>
        <n v="0.015"/>
        <n v="0.01"/>
      </sharedItems>
    </cacheField>
    <cacheField name="transaction_date" numFmtId="165">
      <sharedItems containsSemiMixedTypes="0" containsDate="1" containsString="0">
        <d v="2026-01-29T00:00:00Z"/>
        <d v="2026-01-04T00:00:00Z"/>
        <d v="2026-01-24T00:00:00Z"/>
        <d v="2026-01-30T00:00:00Z"/>
        <d v="2026-01-06T00:00:00Z"/>
        <d v="2026-01-08T00:00:00Z"/>
        <d v="2026-01-27T00:00:00Z"/>
        <d v="2026-01-11T00:00:00Z"/>
        <d v="2026-01-21T00:00:00Z"/>
        <d v="2026-01-01T00:00:00Z"/>
        <d v="2026-01-09T00:00:00Z"/>
        <d v="2026-01-13T00:00:00Z"/>
        <d v="2026-01-14T00:00:00Z"/>
        <d v="2026-01-22T00:00:00Z"/>
        <d v="2026-01-05T00:00:00Z"/>
        <d v="2026-01-18T00:00:00Z"/>
        <d v="2026-01-26T00:00:00Z"/>
        <d v="2026-01-15T00:00:00Z"/>
        <d v="2026-01-17T00:00:00Z"/>
        <d v="2026-01-28T00:00:00Z"/>
        <d v="2026-01-23T00:00:00Z"/>
        <d v="2026-01-25T00:00:00Z"/>
        <d v="2026-01-02T00:00:00Z"/>
        <d v="2026-01-19T00:00:00Z"/>
        <d v="2026-01-16T00:00:00Z"/>
        <d v="2026-01-07T00:00:00Z"/>
        <d v="2026-01-20T00:00:00Z"/>
        <d v="2026-01-10T00:00:00Z"/>
        <d v="2026-01-12T00:00:00Z"/>
        <d v="2026-01-03T00:00:00Z"/>
      </sharedItems>
    </cacheField>
    <cacheField name="merchant_day_key" numFmtId="0">
      <sharedItems>
        <s v="16|2026-01-29"/>
        <s v="27|2026-01-04"/>
        <s v="11|2026-01-24"/>
        <s v="22|2026-01-29"/>
        <s v="16|2026-01-30"/>
        <s v="3|2026-01-06"/>
        <s v="23|2026-01-08"/>
        <s v="13|2026-01-27"/>
        <s v="18|2026-01-11"/>
        <s v="35|2026-01-21"/>
        <s v="12|2026-01-01"/>
        <s v="28|2026-01-09"/>
        <s v="33|2026-01-24"/>
        <s v="3|2026-01-13"/>
        <s v="13|2026-01-14"/>
        <s v="40|2026-01-14"/>
        <s v="33|2026-01-22"/>
        <s v="19|2026-01-22"/>
        <s v="25|2026-01-05"/>
        <s v="20|2026-01-24"/>
        <s v="14|2026-01-18"/>
        <s v="21|2026-01-26"/>
        <s v="33|2026-01-15"/>
        <s v="6|2026-01-26"/>
        <s v="22|2026-01-17"/>
        <s v="15|2026-01-27"/>
        <s v="31|2026-01-05"/>
        <s v="37|2026-01-28"/>
        <s v="26|2026-01-23"/>
        <s v="7|2026-01-05"/>
        <s v="30|2026-01-14"/>
        <s v="30|2026-01-18"/>
        <s v="36|2026-01-26"/>
        <s v="28|2026-01-11"/>
        <s v="29|2026-01-15"/>
        <s v="18|2026-01-25"/>
        <s v="16|2026-01-25"/>
        <s v="16|2026-01-15"/>
        <s v="6|2026-01-11"/>
        <s v="14|2026-01-05"/>
        <s v="25|2026-01-02"/>
        <s v="25|2026-01-19"/>
        <s v="27|2026-01-01"/>
        <s v="15|2026-01-24"/>
        <s v="2|2026-01-08"/>
        <s v="11|2026-01-11"/>
        <s v="2|2026-01-30"/>
        <s v="6|2026-01-19"/>
        <s v="12|2026-01-14"/>
        <s v="30|2026-01-09"/>
        <s v="17|2026-01-11"/>
        <s v="4|2026-01-16"/>
        <s v="3|2026-01-08"/>
        <s v="40|2026-01-01"/>
        <s v="8|2026-01-08"/>
        <s v="24|2026-01-07"/>
        <s v="11|2026-01-20"/>
        <s v="37|2026-01-04"/>
        <s v="5|2026-01-30"/>
        <s v="20|2026-01-23"/>
        <s v="3|2026-01-20"/>
        <s v="5|2026-01-18"/>
        <s v="32|2026-01-21"/>
        <s v="10|2026-01-14"/>
        <s v="18|2026-01-06"/>
        <s v="30|2026-01-26"/>
        <s v="21|2026-01-27"/>
        <s v="16|2026-01-27"/>
        <s v="25|2026-01-15"/>
        <s v="22|2026-01-07"/>
        <s v="36|2026-01-29"/>
        <s v="27|2026-01-17"/>
        <s v="32|2026-01-18"/>
        <s v="15|2026-01-26"/>
        <s v="38|2026-01-23"/>
        <s v="28|2026-01-16"/>
        <s v="18|2026-01-18"/>
        <s v="21|2026-01-09"/>
        <s v="13|2026-01-24"/>
        <s v="34|2026-01-24"/>
        <s v="19|2026-01-10"/>
        <s v="35|2026-01-12"/>
        <s v="19|2026-01-09"/>
        <s v="29|2026-01-19"/>
        <s v="8|2026-01-06"/>
        <s v="4|2026-01-13"/>
        <s v="16|2026-01-05"/>
        <s v="40|2026-01-18"/>
        <s v="29|2026-01-25"/>
        <s v="14|2026-01-02"/>
        <s v="11|2026-01-07"/>
        <s v="1|2026-01-06"/>
        <s v="19|2026-01-15"/>
        <s v="30|2026-01-08"/>
        <s v="38|2026-01-22"/>
        <s v="35|2026-01-26"/>
        <s v="10|2026-01-21"/>
        <s v="39|2026-01-02"/>
        <s v="29|2026-01-27"/>
        <s v="18|2026-01-15"/>
        <s v="39|2026-01-18"/>
        <s v="39|2026-01-29"/>
        <s v="37|2026-01-01"/>
        <s v="32|2026-01-06"/>
        <s v="21|2026-01-16"/>
        <s v="32|2026-01-04"/>
        <s v="3|2026-01-22"/>
        <s v="8|2026-01-03"/>
        <s v="35|2026-01-13"/>
        <s v="24|2026-01-14"/>
        <s v="4|2026-01-25"/>
        <s v="29|2026-01-09"/>
        <s v="39|2026-01-16"/>
        <s v="1|2026-01-23"/>
        <s v="33|2026-01-21"/>
        <s v="31|2026-01-09"/>
        <s v="13|2026-01-15"/>
        <s v="5|2026-01-17"/>
        <s v="38|2026-01-10"/>
        <s v="31|2026-01-16"/>
        <s v="25|2026-01-11"/>
        <s v="25|2026-01-24"/>
        <s v="3|2026-01-26"/>
        <s v="29|2026-01-17"/>
        <s v="22|2026-01-05"/>
        <s v="22|2026-01-23"/>
        <s v="32|2026-01-28"/>
        <s v="19|2026-01-02"/>
        <s v="7|2026-01-24"/>
        <s v="24|2026-01-26"/>
        <s v="37|2026-01-05"/>
        <s v="16|2026-01-28"/>
        <s v="30|2026-01-30"/>
        <s v="1|2026-01-09"/>
        <s v="11|2026-01-29"/>
        <s v="28|2026-01-15"/>
        <s v="13|2026-01-09"/>
        <s v="25|2026-01-28"/>
        <s v="2|2026-01-12"/>
        <s v="13|2026-01-26"/>
        <s v="9|2026-01-09"/>
        <s v="20|2026-01-04"/>
        <s v="9|2026-01-15"/>
        <s v="12|2026-01-30"/>
        <s v="34|2026-01-05"/>
        <s v="17|2026-01-30"/>
        <s v="8|2026-01-26"/>
        <s v="26|2026-01-03"/>
        <s v="1|2026-01-12"/>
        <s v="17|2026-01-18"/>
        <s v="15|2026-01-13"/>
        <s v="21|2026-01-01"/>
        <s v="9|2026-01-10"/>
        <s v="7|2026-01-02"/>
        <s v="30|2026-01-29"/>
        <s v="27|2026-01-22"/>
        <s v="24|2026-01-20"/>
        <s v="7|2026-01-15"/>
        <s v="23|2026-01-12"/>
        <s v="30|2026-01-13"/>
        <s v="39|2026-01-22"/>
        <s v="37|2026-01-02"/>
        <s v="14|2026-01-03"/>
        <s v="1|2026-01-11"/>
        <s v="17|2026-01-28"/>
        <s v="9|2026-01-04"/>
        <s v="34|2026-01-09"/>
        <s v="24|2026-01-24"/>
        <s v="15|2026-01-19"/>
        <s v="34|2026-01-02"/>
        <s v="31|2026-01-15"/>
        <s v="29|2026-01-14"/>
        <s v="10|2026-01-29"/>
        <s v="38|2026-01-05"/>
        <s v="34|2026-01-23"/>
        <s v="14|2026-01-04"/>
        <s v="30|2026-01-15"/>
        <s v="28|2026-01-14"/>
        <s v="31|2026-01-22"/>
        <s v="7|2026-01-03"/>
        <s v="36|2026-01-24"/>
        <s v="8|2026-01-19"/>
        <s v="4|2026-01-12"/>
        <s v="37|2026-01-20"/>
        <s v="15|2026-01-07"/>
        <s v="18|2026-01-12"/>
        <s v="40|2026-01-08"/>
        <s v="12|2026-01-27"/>
        <s v="23|2026-01-23"/>
        <s v="26|2026-01-06"/>
        <s v="6|2026-01-05"/>
        <s v="30|2026-01-17"/>
        <s v="37|2026-01-06"/>
        <s v="40|2026-01-03"/>
        <s v="28|2026-01-22"/>
        <s v="14|2026-01-20"/>
        <s v="8|2026-01-17"/>
        <s v="34|2026-01-22"/>
        <s v="39|2026-01-10"/>
        <s v="9|2026-01-01"/>
        <s v="2|2026-01-13"/>
        <s v="37|2026-01-30"/>
        <s v="27|2026-01-19"/>
        <s v="11|2026-01-04"/>
        <s v="6|2026-01-15"/>
        <s v="38|2026-01-28"/>
        <s v="8|2026-01-11"/>
        <s v="23|2026-01-17"/>
        <s v="39|2026-01-05"/>
        <s v="32|2026-01-25"/>
        <s v="40|2026-01-30"/>
        <s v="29|2026-01-28"/>
        <s v="18|2026-01-16"/>
        <s v="20|2026-01-02"/>
        <s v="31|2026-01-21"/>
        <s v="3|2026-01-03"/>
        <s v="25|2026-01-06"/>
        <s v="7|2026-01-21"/>
        <s v="10|2026-01-11"/>
        <s v="26|2026-01-10"/>
        <s v="36|2026-01-20"/>
        <s v="34|2026-01-21"/>
        <s v="24|2026-01-21"/>
        <s v="22|2026-01-12"/>
        <s v="10|2026-01-16"/>
        <s v="34|2026-01-10"/>
        <s v="9|2026-01-22"/>
        <s v="40|2026-01-13"/>
        <s v="19|2026-01-24"/>
        <s v="16|2026-01-24"/>
        <s v="39|2026-01-17"/>
        <s v="31|2026-01-28"/>
        <s v="8|2026-01-18"/>
        <s v="33|2026-01-03"/>
        <s v="26|2026-01-30"/>
        <s v="24|2026-01-12"/>
        <s v="22|2026-01-01"/>
        <s v="9|2026-01-05"/>
        <s v="36|2026-01-01"/>
        <s v="19|2026-01-20"/>
        <s v="27|2026-01-10"/>
        <s v="33|2026-01-20"/>
        <s v="28|2026-01-08"/>
        <s v="27|2026-01-20"/>
        <s v="24|2026-01-22"/>
        <s v="36|2026-01-17"/>
        <s v="25|2026-01-13"/>
        <s v="5|2026-01-09"/>
        <s v="7|2026-01-08"/>
        <s v="9|2026-01-19"/>
        <s v="12|2026-01-12"/>
        <s v="12|2026-01-22"/>
        <s v="3|2026-01-07"/>
        <s v="35|2026-01-30"/>
        <s v="29|2026-01-04"/>
        <s v="24|2026-01-11"/>
        <s v="6|2026-01-09"/>
        <s v="21|2026-01-20"/>
        <s v="20|2026-01-03"/>
        <s v="29|2026-01-20"/>
        <s v="40|2026-01-15"/>
        <s v="11|2026-01-21"/>
        <s v="3|2026-01-05"/>
        <s v="24|2026-01-03"/>
        <s v="10|2026-01-13"/>
        <s v="5|2026-01-15"/>
        <s v="21|2026-01-05"/>
        <s v="12|2026-01-09"/>
        <s v="14|2026-01-25"/>
        <s v="13|2026-01-10"/>
        <s v="29|2026-01-05"/>
        <s v="23|2026-01-26"/>
        <s v="12|2026-01-23"/>
        <s v="9|2026-01-17"/>
        <s v="9|2026-01-12"/>
        <s v="26|2026-01-29"/>
        <s v="27|2026-01-24"/>
        <s v="5|2026-01-03"/>
        <s v="9|2026-01-18"/>
        <s v="34|2026-01-17"/>
        <s v="15|2026-01-10"/>
        <s v="17|2026-01-17"/>
        <s v="20|2026-01-21"/>
        <s v="11|2026-01-18"/>
        <s v="40|2026-01-19"/>
        <s v="3|2026-01-29"/>
        <s v="17|2026-01-03"/>
        <s v="2|2026-01-07"/>
        <s v="20|2026-01-29"/>
        <s v="27|2026-01-23"/>
        <s v="10|2026-01-15"/>
        <s v="26|2026-01-28"/>
        <s v="7|2026-01-25"/>
        <s v="29|2026-01-08"/>
        <s v="21|2026-01-14"/>
        <s v="32|2026-01-24"/>
        <s v="32|2026-01-15"/>
        <s v="16|2026-01-03"/>
        <s v="19|2026-01-19"/>
        <s v="17|2026-01-01"/>
        <s v="26|2026-01-12"/>
        <s v="36|2026-01-19"/>
        <s v="36|2026-01-03"/>
        <s v="8|2026-01-27"/>
        <s v="36|2026-01-04"/>
        <s v="33|2026-01-25"/>
        <s v="40|2026-01-29"/>
        <s v="38|2026-01-06"/>
        <s v="37|2026-01-17"/>
        <s v="8|2026-01-16"/>
        <s v="2|2026-01-19"/>
        <s v="37|2026-01-16"/>
        <s v="13|2026-01-08"/>
        <s v="27|2026-01-15"/>
        <s v="31|2026-01-07"/>
        <s v="34|2026-01-18"/>
        <s v="22|2026-01-11"/>
        <s v="17|2026-01-12"/>
        <s v="36|2026-01-16"/>
        <s v="14|2026-01-08"/>
        <s v="8|2026-01-30"/>
        <s v="23|2026-01-22"/>
        <s v="19|2026-01-26"/>
        <s v="40|2026-01-23"/>
        <s v="34|2026-01-19"/>
        <s v="27|2026-01-21"/>
        <s v="9|2026-01-23"/>
        <s v="31|2026-01-18"/>
        <s v="21|2026-01-21"/>
        <s v="37|2026-01-21"/>
        <s v="12|2026-01-18"/>
        <s v="3|2026-01-16"/>
        <s v="22|2026-01-10"/>
        <s v="13|2026-01-28"/>
        <s v="19|2026-01-06"/>
        <s v="26|2026-01-22"/>
        <s v="7|2026-01-17"/>
        <s v="1|2026-01-05"/>
        <s v="22|2026-01-13"/>
        <s v="17|2026-01-19"/>
        <s v="8|2026-01-12"/>
        <s v="20|2026-01-10"/>
        <s v="24|2026-01-04"/>
        <s v="10|2026-01-08"/>
        <s v="6|2026-01-08"/>
        <s v="33|2026-01-04"/>
        <s v="21|2026-01-19"/>
        <s v="38|2026-01-15"/>
        <s v="30|2026-01-03"/>
        <s v="4|2026-01-17"/>
        <s v="2|2026-01-15"/>
        <s v="38|2026-01-09"/>
        <s v="35|2026-01-02"/>
        <s v="3|2026-01-30"/>
        <s v="27|2026-01-14"/>
        <s v="25|2026-01-29"/>
        <s v="35|2026-01-28"/>
        <s v="1|2026-01-17"/>
        <s v="35|2026-01-01"/>
        <s v="16|2026-01-18"/>
        <s v="2|2026-01-26"/>
        <s v="16|2026-01-20"/>
        <s v="19|2026-01-25"/>
        <s v="37|2026-01-27"/>
        <s v="15|2026-01-29"/>
        <s v="28|2026-01-30"/>
        <s v="25|2026-01-16"/>
        <s v="31|2026-01-10"/>
        <s v="30|2026-01-28"/>
        <s v="6|2026-01-03"/>
        <s v="13|2026-01-20"/>
        <s v="14|2026-01-19"/>
        <s v="14|2026-01-07"/>
        <s v="35|2026-01-11"/>
        <s v="33|2026-01-12"/>
        <s v="21|2026-01-15"/>
        <s v="37|2026-01-12"/>
        <s v="10|2026-01-19"/>
        <s v="16|2026-01-11"/>
        <s v="32|2026-01-27"/>
        <s v="11|2026-01-06"/>
        <s v="35|2026-01-24"/>
        <s v="4|2026-01-02"/>
        <s v="15|2026-01-01"/>
        <s v="33|2026-01-23"/>
        <s v="40|2026-01-12"/>
        <s v="35|2026-01-22"/>
        <s v="18|2026-01-14"/>
        <s v="28|2026-01-10"/>
        <s v="16|2026-01-04"/>
        <s v="18|2026-01-20"/>
        <s v="37|2026-01-03"/>
        <s v="3|2026-01-23"/>
        <s v="31|2026-01-13"/>
        <s v="6|2026-01-21"/>
        <s v="31|2026-01-29"/>
        <s v="2|2026-01-22"/>
        <s v="5|2026-01-19"/>
        <s v="9|2026-01-29"/>
        <s v="4|2026-01-24"/>
        <s v="22|2026-01-14"/>
        <s v="21|2026-01-25"/>
        <s v="10|2026-01-05"/>
        <s v="6|2026-01-13"/>
        <s v="7|2026-01-10"/>
        <s v="6|2026-01-17"/>
        <s v="21|2026-01-18"/>
        <s v="6|2026-01-01"/>
        <s v="37|2026-01-29"/>
        <s v="9|2026-01-06"/>
        <s v="5|2026-01-10"/>
        <s v="31|2026-01-14"/>
        <s v="32|2026-01-03"/>
        <s v="7|2026-01-30"/>
        <s v="40|2026-01-11"/>
        <s v="28|2026-01-21"/>
        <s v="13|2026-01-21"/>
        <s v="19|2026-01-16"/>
        <s v="37|2026-01-23"/>
        <s v="36|2026-01-28"/>
        <s v="32|2026-01-13"/>
        <s v="10|2026-01-20"/>
        <s v="39|2026-01-23"/>
        <s v="23|2026-01-18"/>
        <s v="26|2026-01-02"/>
        <s v="17|2026-01-02"/>
        <s v="30|2026-01-12"/>
        <s v="10|2026-01-12"/>
        <s v="31|2026-01-12"/>
        <s v="27|2026-01-12"/>
        <s v="34|2026-01-12"/>
        <s v="29|2026-01-12"/>
        <s v="8|2026-01-02"/>
        <s v="16|2026-01-02"/>
        <s v="36|2026-01-02"/>
        <s v="15|2026-01-14"/>
        <s v="26|2026-01-14"/>
        <s v="14|2026-01-01"/>
        <s v="5|2026-01-01"/>
        <s v="32|2026-01-09"/>
        <s v="39|2026-01-09"/>
        <s v="23|2026-01-09"/>
        <s v="16|2026-01-23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_Summary" cacheId="0" dataCaption="" compact="0" compactData="0">
  <location ref="A1:D133" firstHeaderRow="0" firstDataRow="3" firstDataCol="0"/>
  <pivotFields>
    <pivotField name="transaction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t="default"/>
      </items>
    </pivotField>
    <pivotField name="merchant_id" axis="axisRow" compact="0" outline="0" multipleItemSelectionAllowed="1" showAll="0" sortType="ascending">
      <items>
        <item x="37"/>
        <item x="27"/>
        <item x="4"/>
        <item x="29"/>
        <item x="32"/>
        <item x="18"/>
        <item x="23"/>
        <item x="30"/>
        <item x="39"/>
        <item x="34"/>
        <item x="2"/>
        <item x="9"/>
        <item x="6"/>
        <item x="16"/>
        <item x="19"/>
        <item x="0"/>
        <item x="28"/>
        <item x="7"/>
        <item x="13"/>
        <item x="15"/>
        <item x="17"/>
        <item x="3"/>
        <item x="5"/>
        <item x="31"/>
        <item x="14"/>
        <item x="22"/>
        <item x="1"/>
        <item x="10"/>
        <item x="26"/>
        <item x="24"/>
        <item x="20"/>
        <item x="33"/>
        <item x="11"/>
        <item x="36"/>
        <item x="8"/>
        <item x="25"/>
        <item x="21"/>
        <item x="35"/>
        <item x="38"/>
        <item x="12"/>
        <item t="default"/>
      </items>
    </pivotField>
    <pivotField name="transaction_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t="default"/>
      </items>
    </pivotField>
    <pivotField name="amount_in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status" axis="axisRow" compact="0" outline="0" multipleItemSelectionAllowed="1" showAll="0" sortType="ascending">
      <items>
        <item x="0"/>
        <item x="2"/>
        <item x="1"/>
        <item t="default"/>
      </items>
    </pivotField>
    <pivotField name="risk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mercha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illustrative_fee_pct" compact="0" outline="0" multipleItemSelectionAllowed="1" showAll="0">
      <items>
        <item x="0"/>
        <item x="1"/>
        <item x="2"/>
        <item x="3"/>
        <item t="default"/>
      </items>
    </pivotField>
    <pivotField name="transaction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erchant_day_ke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t="default"/>
      </items>
    </pivotField>
    <pivotField name="merchant_daily_total_in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merchant_day_classification" compact="0" outline="0" multipleItemSelectionAllowed="1" showAll="0">
      <items>
        <item x="0"/>
        <item x="1"/>
        <item x="2"/>
        <item t="default"/>
      </items>
    </pivotField>
  </pivotFields>
  <rowFields>
    <field x="2"/>
    <field x="6"/>
  </rowFields>
  <colFields>
    <field x="-2"/>
  </colFields>
  <dataFields>
    <dataField name="SUM of amount_inr" fld="4" baseField="0"/>
    <dataField name="COUNTA of transaction_id" fld="0" subtotal="count" baseField="0"/>
  </dataFields>
</pivotTableDefinition>
</file>

<file path=xl/pivotTables/pivotTable2.xml><?xml version="1.0" encoding="utf-8"?>
<pivotTableDefinition xmlns="http://schemas.openxmlformats.org/spreadsheetml/2006/main" name="Merchant_Daily" cacheId="1" dataCaption="" compact="0" compactData="0">
  <location ref="A1:B445" firstHeaderRow="0" firstDataRow="1" firstDataCol="0"/>
  <pivotFields>
    <pivotField name="transac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t="default"/>
      </items>
    </pivotField>
    <pivotField name="mercha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nsaction_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t="default"/>
      </items>
    </pivotField>
    <pivotField name="amount_in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risk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mercha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illustrative_fee_pct" compact="0" outline="0" multipleItemSelectionAllowed="1" showAll="0">
      <items>
        <item x="0"/>
        <item x="1"/>
        <item x="2"/>
        <item x="3"/>
        <item t="default"/>
      </items>
    </pivotField>
    <pivotField name="transaction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erchant_day_key" axis="axisRow" compact="0" outline="0" multipleItemSelectionAllowed="1" showAll="0" sortType="ascending">
      <items>
        <item x="337"/>
        <item x="91"/>
        <item x="133"/>
        <item x="163"/>
        <item x="148"/>
        <item x="357"/>
        <item x="113"/>
        <item x="402"/>
        <item x="343"/>
        <item x="218"/>
        <item x="427"/>
        <item x="264"/>
        <item x="63"/>
        <item x="290"/>
        <item x="224"/>
        <item x="377"/>
        <item x="421"/>
        <item x="96"/>
        <item x="172"/>
        <item x="203"/>
        <item x="380"/>
        <item x="90"/>
        <item x="45"/>
        <item x="283"/>
        <item x="56"/>
        <item x="261"/>
        <item x="2"/>
        <item x="134"/>
        <item x="10"/>
        <item x="267"/>
        <item x="250"/>
        <item x="48"/>
        <item x="330"/>
        <item x="251"/>
        <item x="272"/>
        <item x="187"/>
        <item x="143"/>
        <item x="312"/>
        <item x="136"/>
        <item x="269"/>
        <item x="14"/>
        <item x="116"/>
        <item x="370"/>
        <item x="416"/>
        <item x="78"/>
        <item x="139"/>
        <item x="7"/>
        <item x="333"/>
        <item x="437"/>
        <item x="89"/>
        <item x="162"/>
        <item x="175"/>
        <item x="39"/>
        <item x="372"/>
        <item x="319"/>
        <item x="20"/>
        <item x="371"/>
        <item x="195"/>
        <item x="268"/>
        <item x="383"/>
        <item x="184"/>
        <item x="280"/>
        <item x="150"/>
        <item x="435"/>
        <item x="168"/>
        <item x="43"/>
        <item x="73"/>
        <item x="25"/>
        <item x="364"/>
        <item x="433"/>
        <item x="297"/>
        <item x="389"/>
        <item x="86"/>
        <item x="378"/>
        <item x="37"/>
        <item x="359"/>
        <item x="361"/>
        <item x="442"/>
        <item x="229"/>
        <item x="36"/>
        <item x="67"/>
        <item x="131"/>
        <item x="0"/>
        <item x="4"/>
        <item x="299"/>
        <item x="425"/>
        <item x="286"/>
        <item x="50"/>
        <item x="317"/>
        <item x="281"/>
        <item x="149"/>
        <item x="339"/>
        <item x="164"/>
        <item x="145"/>
        <item x="64"/>
        <item x="8"/>
        <item x="185"/>
        <item x="387"/>
        <item x="99"/>
        <item x="212"/>
        <item x="76"/>
        <item x="390"/>
        <item x="35"/>
        <item x="127"/>
        <item x="334"/>
        <item x="82"/>
        <item x="80"/>
        <item x="92"/>
        <item x="417"/>
        <item x="298"/>
        <item x="239"/>
        <item x="17"/>
        <item x="228"/>
        <item x="362"/>
        <item x="322"/>
        <item x="287"/>
        <item x="44"/>
        <item x="138"/>
        <item x="200"/>
        <item x="350"/>
        <item x="310"/>
        <item x="396"/>
        <item x="360"/>
        <item x="46"/>
        <item x="213"/>
        <item x="258"/>
        <item x="141"/>
        <item x="341"/>
        <item x="282"/>
        <item x="59"/>
        <item x="19"/>
        <item x="288"/>
        <item x="151"/>
        <item x="266"/>
        <item x="77"/>
        <item x="294"/>
        <item x="375"/>
        <item x="104"/>
        <item x="406"/>
        <item x="346"/>
        <item x="257"/>
        <item x="328"/>
        <item x="401"/>
        <item x="21"/>
        <item x="66"/>
        <item x="236"/>
        <item x="124"/>
        <item x="69"/>
        <item x="332"/>
        <item x="316"/>
        <item x="223"/>
        <item x="338"/>
        <item x="400"/>
        <item x="24"/>
        <item x="125"/>
        <item x="3"/>
        <item x="6"/>
        <item x="441"/>
        <item x="158"/>
        <item x="207"/>
        <item x="423"/>
        <item x="321"/>
        <item x="188"/>
        <item x="271"/>
        <item x="263"/>
        <item x="342"/>
        <item x="55"/>
        <item x="255"/>
        <item x="235"/>
        <item x="109"/>
        <item x="156"/>
        <item x="222"/>
        <item x="244"/>
        <item x="167"/>
        <item x="129"/>
        <item x="40"/>
        <item x="18"/>
        <item x="216"/>
        <item x="120"/>
        <item x="246"/>
        <item x="68"/>
        <item x="366"/>
        <item x="41"/>
        <item x="121"/>
        <item x="137"/>
        <item x="355"/>
        <item x="424"/>
        <item x="147"/>
        <item x="189"/>
        <item x="219"/>
        <item x="300"/>
        <item x="436"/>
        <item x="335"/>
        <item x="28"/>
        <item x="291"/>
        <item x="275"/>
        <item x="234"/>
        <item x="42"/>
        <item x="1"/>
        <item x="240"/>
        <item x="429"/>
        <item x="354"/>
        <item x="313"/>
        <item x="71"/>
        <item x="202"/>
        <item x="243"/>
        <item x="325"/>
        <item x="155"/>
        <item x="289"/>
        <item x="276"/>
        <item x="242"/>
        <item x="11"/>
        <item x="388"/>
        <item x="33"/>
        <item x="177"/>
        <item x="135"/>
        <item x="75"/>
        <item x="415"/>
        <item x="194"/>
        <item x="365"/>
        <item x="254"/>
        <item x="270"/>
        <item x="293"/>
        <item x="111"/>
        <item x="431"/>
        <item x="171"/>
        <item x="34"/>
        <item x="123"/>
        <item x="83"/>
        <item x="259"/>
        <item x="88"/>
        <item x="98"/>
        <item x="211"/>
        <item x="215"/>
        <item x="262"/>
        <item x="5"/>
        <item x="252"/>
        <item x="52"/>
        <item x="13"/>
        <item x="331"/>
        <item x="60"/>
        <item x="106"/>
        <item x="392"/>
        <item x="122"/>
        <item x="285"/>
        <item x="353"/>
        <item x="348"/>
        <item x="93"/>
        <item x="49"/>
        <item x="426"/>
        <item x="159"/>
        <item x="30"/>
        <item x="176"/>
        <item x="191"/>
        <item x="31"/>
        <item x="65"/>
        <item x="368"/>
        <item x="154"/>
        <item x="132"/>
        <item x="26"/>
        <item x="314"/>
        <item x="115"/>
        <item x="367"/>
        <item x="428"/>
        <item x="393"/>
        <item x="411"/>
        <item x="170"/>
        <item x="119"/>
        <item x="327"/>
        <item x="214"/>
        <item x="178"/>
        <item x="231"/>
        <item x="395"/>
        <item x="412"/>
        <item x="105"/>
        <item x="103"/>
        <item x="439"/>
        <item x="420"/>
        <item x="296"/>
        <item x="72"/>
        <item x="62"/>
        <item x="295"/>
        <item x="209"/>
        <item x="379"/>
        <item x="126"/>
        <item x="233"/>
        <item x="345"/>
        <item x="374"/>
        <item x="22"/>
        <item x="241"/>
        <item x="114"/>
        <item x="16"/>
        <item x="384"/>
        <item x="12"/>
        <item x="305"/>
        <item x="169"/>
        <item x="144"/>
        <item x="166"/>
        <item x="225"/>
        <item x="430"/>
        <item x="279"/>
        <item x="315"/>
        <item x="324"/>
        <item x="221"/>
        <item x="197"/>
        <item x="174"/>
        <item x="79"/>
        <item x="358"/>
        <item x="352"/>
        <item x="373"/>
        <item x="81"/>
        <item x="108"/>
        <item x="9"/>
        <item x="386"/>
        <item x="381"/>
        <item x="95"/>
        <item x="356"/>
        <item x="253"/>
        <item x="238"/>
        <item x="434"/>
        <item x="302"/>
        <item x="304"/>
        <item x="318"/>
        <item x="245"/>
        <item x="301"/>
        <item x="220"/>
        <item x="180"/>
        <item x="32"/>
        <item x="419"/>
        <item x="70"/>
        <item x="102"/>
        <item x="161"/>
        <item x="391"/>
        <item x="57"/>
        <item x="130"/>
        <item x="192"/>
        <item x="376"/>
        <item x="311"/>
        <item x="308"/>
        <item x="183"/>
        <item x="329"/>
        <item x="418"/>
        <item x="363"/>
        <item x="27"/>
        <item x="408"/>
        <item x="201"/>
        <item x="173"/>
        <item x="307"/>
        <item x="351"/>
        <item x="118"/>
        <item x="347"/>
        <item x="94"/>
        <item x="74"/>
        <item x="205"/>
        <item x="97"/>
        <item x="208"/>
        <item x="440"/>
        <item x="198"/>
        <item x="112"/>
        <item x="230"/>
        <item x="100"/>
        <item x="160"/>
        <item x="422"/>
        <item x="101"/>
        <item x="382"/>
        <item x="182"/>
        <item x="85"/>
        <item x="51"/>
        <item x="349"/>
        <item x="399"/>
        <item x="110"/>
        <item x="53"/>
        <item x="193"/>
        <item x="186"/>
        <item x="414"/>
        <item x="385"/>
        <item x="227"/>
        <item x="15"/>
        <item x="260"/>
        <item x="87"/>
        <item x="284"/>
        <item x="323"/>
        <item x="306"/>
        <item x="210"/>
        <item x="438"/>
        <item x="277"/>
        <item x="247"/>
        <item x="410"/>
        <item x="265"/>
        <item x="117"/>
        <item x="61"/>
        <item x="397"/>
        <item x="58"/>
        <item x="407"/>
        <item x="369"/>
        <item x="190"/>
        <item x="344"/>
        <item x="256"/>
        <item x="38"/>
        <item x="403"/>
        <item x="204"/>
        <item x="405"/>
        <item x="47"/>
        <item x="394"/>
        <item x="23"/>
        <item x="153"/>
        <item x="179"/>
        <item x="29"/>
        <item x="248"/>
        <item x="404"/>
        <item x="157"/>
        <item x="336"/>
        <item x="217"/>
        <item x="128"/>
        <item x="292"/>
        <item x="413"/>
        <item x="432"/>
        <item x="107"/>
        <item x="84"/>
        <item x="54"/>
        <item x="206"/>
        <item x="340"/>
        <item x="309"/>
        <item x="196"/>
        <item x="232"/>
        <item x="181"/>
        <item x="146"/>
        <item x="303"/>
        <item x="320"/>
        <item x="199"/>
        <item x="165"/>
        <item x="237"/>
        <item x="409"/>
        <item x="140"/>
        <item x="152"/>
        <item x="274"/>
        <item x="142"/>
        <item x="273"/>
        <item x="278"/>
        <item x="249"/>
        <item x="226"/>
        <item x="326"/>
        <item x="398"/>
        <item t="default"/>
      </items>
    </pivotField>
  </pivotFields>
  <rowFields>
    <field x="13"/>
  </rowFields>
  <dataFields>
    <dataField name="SUM of amount_inr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8</v>
      </c>
      <c r="C1" s="1" t="s">
        <v>2</v>
      </c>
      <c r="D1" s="1" t="s">
        <v>11</v>
      </c>
      <c r="E1" s="1" t="s">
        <v>12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2" t="s">
        <v>21</v>
      </c>
      <c r="N1" s="1" t="s">
        <v>22</v>
      </c>
      <c r="O1" s="1" t="s">
        <v>23</v>
      </c>
      <c r="P1" s="1" t="s">
        <v>24</v>
      </c>
    </row>
    <row r="2">
      <c r="A2" s="1" t="s">
        <v>25</v>
      </c>
      <c r="B2" s="1">
        <v>350.0</v>
      </c>
      <c r="C2" s="1">
        <v>16.0</v>
      </c>
      <c r="D2" s="3">
        <v>46051.467361111114</v>
      </c>
      <c r="E2" s="1">
        <v>2999.0</v>
      </c>
      <c r="F2" s="1" t="s">
        <v>26</v>
      </c>
      <c r="G2" s="1" t="s">
        <v>27</v>
      </c>
      <c r="H2" s="1">
        <v>85.0</v>
      </c>
      <c r="I2" s="4" t="str">
        <f>IFERROR(VLOOKUP(C2,Merchants!$A$2:$D$41,2,FALSE),"Merchant not found")</f>
        <v>Merchant_016</v>
      </c>
      <c r="J2" s="4" t="str">
        <f>IFERROR(VLOOKUP(C2,Merchants!$A$2:$D$41,3,FALSE),"Merchant not found")</f>
        <v>bill_payment</v>
      </c>
      <c r="K2" s="4" t="str">
        <f>IFERROR(VLOOKUP(C2,Merchants!$A$2:$D$41,4,FALSE),"Merchant not found")</f>
        <v>West</v>
      </c>
      <c r="L2" s="4">
        <f>IFERROR(HLOOKUP(F2,Fee_Lookup!$B$1:$E$2,2,FALSE),"Fee not found")</f>
        <v>0.005</v>
      </c>
      <c r="M2" s="5">
        <f t="shared" ref="M2:M548" si="1">INT(D2)</f>
        <v>46051</v>
      </c>
      <c r="N2" s="4" t="str">
        <f t="shared" ref="N2:N548" si="2">C2&amp;"|"&amp;TEXT(M2,"yyyy-mm-dd")</f>
        <v>16|2026-01-29</v>
      </c>
      <c r="O2" s="4">
        <f>IFERROR(VLOOKUP(N2,Merchant_Daily!$A:$B,2,FALSE),0)</f>
        <v>2999</v>
      </c>
      <c r="P2" s="4" t="str">
        <f t="shared" ref="P2:P548" si="3">IF(
    AND(O2&gt;5000,K2&lt;&gt;"East"),
    "High-Value Merchant Day",
    IF(
        AND(O2&gt;5000,K2="East"),
        "High-Value East Merchant Day",
        "Standard Merchant Day"
    )
)</f>
        <v>Standard Merchant Day</v>
      </c>
    </row>
    <row r="3">
      <c r="A3" s="1" t="s">
        <v>33</v>
      </c>
      <c r="B3" s="1">
        <v>287.0</v>
      </c>
      <c r="C3" s="1">
        <v>27.0</v>
      </c>
      <c r="D3" s="3">
        <v>46026.49236111111</v>
      </c>
      <c r="E3" s="1">
        <v>49.0</v>
      </c>
      <c r="F3" s="1" t="s">
        <v>35</v>
      </c>
      <c r="G3" s="1" t="s">
        <v>27</v>
      </c>
      <c r="H3" s="1">
        <v>79.0</v>
      </c>
      <c r="I3" s="4" t="str">
        <f>IFERROR(VLOOKUP(C3,Merchants!$A$2:$D$41,2,FALSE),"Merchant not found")</f>
        <v>Merchant_027</v>
      </c>
      <c r="J3" s="4" t="str">
        <f>IFERROR(VLOOKUP(C3,Merchants!$A$2:$D$41,3,FALSE),"Merchant not found")</f>
        <v>ecommerce</v>
      </c>
      <c r="K3" s="4" t="str">
        <f>IFERROR(VLOOKUP(C3,Merchants!$A$2:$D$41,4,FALSE),"Merchant not found")</f>
        <v>North</v>
      </c>
      <c r="L3" s="4">
        <f>IFERROR(HLOOKUP(F3,Fee_Lookup!$B$1:$E$2,2,FALSE),"Fee not found")</f>
        <v>0</v>
      </c>
      <c r="M3" s="5">
        <f t="shared" si="1"/>
        <v>46026</v>
      </c>
      <c r="N3" s="4" t="str">
        <f t="shared" si="2"/>
        <v>27|2026-01-04</v>
      </c>
      <c r="O3" s="4">
        <f>IFERROR(VLOOKUP(N3,Merchant_Daily!$A:$B,2,FALSE),0)</f>
        <v>49</v>
      </c>
      <c r="P3" s="4" t="str">
        <f t="shared" si="3"/>
        <v>Standard Merchant Day</v>
      </c>
    </row>
    <row r="4">
      <c r="A4" s="1" t="s">
        <v>45</v>
      </c>
      <c r="B4" s="1">
        <v>122.0</v>
      </c>
      <c r="C4" s="1">
        <v>11.0</v>
      </c>
      <c r="D4" s="3">
        <v>46046.20763888889</v>
      </c>
      <c r="E4" s="1">
        <v>1499.0</v>
      </c>
      <c r="F4" s="1" t="s">
        <v>26</v>
      </c>
      <c r="G4" s="1" t="s">
        <v>27</v>
      </c>
      <c r="H4" s="1">
        <v>22.0</v>
      </c>
      <c r="I4" s="4" t="str">
        <f>IFERROR(VLOOKUP(C4,Merchants!$A$2:$D$41,2,FALSE),"Merchant not found")</f>
        <v>Merchant_011</v>
      </c>
      <c r="J4" s="4" t="str">
        <f>IFERROR(VLOOKUP(C4,Merchants!$A$2:$D$41,3,FALSE),"Merchant not found")</f>
        <v>ecommerce</v>
      </c>
      <c r="K4" s="4" t="str">
        <f>IFERROR(VLOOKUP(C4,Merchants!$A$2:$D$41,4,FALSE),"Merchant not found")</f>
        <v>North</v>
      </c>
      <c r="L4" s="4">
        <f>IFERROR(HLOOKUP(F4,Fee_Lookup!$B$1:$E$2,2,FALSE),"Fee not found")</f>
        <v>0.005</v>
      </c>
      <c r="M4" s="5">
        <f t="shared" si="1"/>
        <v>46046</v>
      </c>
      <c r="N4" s="4" t="str">
        <f t="shared" si="2"/>
        <v>11|2026-01-24</v>
      </c>
      <c r="O4" s="4">
        <f>IFERROR(VLOOKUP(N4,Merchant_Daily!$A:$B,2,FALSE),0)</f>
        <v>1798</v>
      </c>
      <c r="P4" s="4" t="str">
        <f t="shared" si="3"/>
        <v>Standard Merchant Day</v>
      </c>
    </row>
    <row r="5">
      <c r="A5" s="1" t="s">
        <v>70</v>
      </c>
      <c r="B5" s="1">
        <v>92.0</v>
      </c>
      <c r="C5" s="1">
        <v>22.0</v>
      </c>
      <c r="D5" s="3">
        <v>46051.54236111111</v>
      </c>
      <c r="E5" s="1">
        <v>49.0</v>
      </c>
      <c r="F5" s="1" t="s">
        <v>47</v>
      </c>
      <c r="G5" s="1" t="s">
        <v>27</v>
      </c>
      <c r="H5" s="1">
        <v>100.0</v>
      </c>
      <c r="I5" s="4" t="str">
        <f>IFERROR(VLOOKUP(C5,Merchants!$A$2:$D$41,2,FALSE),"Merchant not found")</f>
        <v>Merchant_022</v>
      </c>
      <c r="J5" s="4" t="str">
        <f>IFERROR(VLOOKUP(C5,Merchants!$A$2:$D$41,3,FALSE),"Merchant not found")</f>
        <v>travel</v>
      </c>
      <c r="K5" s="4" t="str">
        <f>IFERROR(VLOOKUP(C5,Merchants!$A$2:$D$41,4,FALSE),"Merchant not found")</f>
        <v>South</v>
      </c>
      <c r="L5" s="4">
        <f>IFERROR(HLOOKUP(F5,Fee_Lookup!$B$1:$E$2,2,FALSE),"Fee not found")</f>
        <v>0.015</v>
      </c>
      <c r="M5" s="5">
        <f t="shared" si="1"/>
        <v>46051</v>
      </c>
      <c r="N5" s="4" t="str">
        <f t="shared" si="2"/>
        <v>22|2026-01-29</v>
      </c>
      <c r="O5" s="4">
        <f>IFERROR(VLOOKUP(N5,Merchant_Daily!$A:$B,2,FALSE),0)</f>
        <v>49</v>
      </c>
      <c r="P5" s="4" t="str">
        <f t="shared" si="3"/>
        <v>Standard Merchant Day</v>
      </c>
    </row>
    <row r="6">
      <c r="A6" s="1" t="s">
        <v>103</v>
      </c>
      <c r="B6" s="1">
        <v>343.0</v>
      </c>
      <c r="C6" s="1">
        <v>16.0</v>
      </c>
      <c r="D6" s="3">
        <v>46052.57708333333</v>
      </c>
      <c r="E6" s="1">
        <v>99.0</v>
      </c>
      <c r="F6" s="1" t="s">
        <v>35</v>
      </c>
      <c r="G6" s="1" t="s">
        <v>27</v>
      </c>
      <c r="H6" s="1">
        <v>34.0</v>
      </c>
      <c r="I6" s="4" t="str">
        <f>IFERROR(VLOOKUP(C6,Merchants!$A$2:$D$41,2,FALSE),"Merchant not found")</f>
        <v>Merchant_016</v>
      </c>
      <c r="J6" s="4" t="str">
        <f>IFERROR(VLOOKUP(C6,Merchants!$A$2:$D$41,3,FALSE),"Merchant not found")</f>
        <v>bill_payment</v>
      </c>
      <c r="K6" s="4" t="str">
        <f>IFERROR(VLOOKUP(C6,Merchants!$A$2:$D$41,4,FALSE),"Merchant not found")</f>
        <v>West</v>
      </c>
      <c r="L6" s="4">
        <f>IFERROR(HLOOKUP(F6,Fee_Lookup!$B$1:$E$2,2,FALSE),"Fee not found")</f>
        <v>0</v>
      </c>
      <c r="M6" s="5">
        <f t="shared" si="1"/>
        <v>46052</v>
      </c>
      <c r="N6" s="4" t="str">
        <f t="shared" si="2"/>
        <v>16|2026-01-30</v>
      </c>
      <c r="O6" s="4">
        <f>IFERROR(VLOOKUP(N6,Merchant_Daily!$A:$B,2,FALSE),0)</f>
        <v>898</v>
      </c>
      <c r="P6" s="4" t="str">
        <f t="shared" si="3"/>
        <v>Standard Merchant Day</v>
      </c>
    </row>
    <row r="7">
      <c r="A7" s="1" t="s">
        <v>134</v>
      </c>
      <c r="B7" s="1">
        <v>196.0</v>
      </c>
      <c r="C7" s="1">
        <v>3.0</v>
      </c>
      <c r="D7" s="3">
        <v>46028.92083333333</v>
      </c>
      <c r="E7" s="1">
        <v>99.0</v>
      </c>
      <c r="F7" s="1" t="s">
        <v>35</v>
      </c>
      <c r="G7" s="1" t="s">
        <v>27</v>
      </c>
      <c r="H7" s="1">
        <v>60.0</v>
      </c>
      <c r="I7" s="4" t="str">
        <f>IFERROR(VLOOKUP(C7,Merchants!$A$2:$D$41,2,FALSE),"Merchant not found")</f>
        <v>Merchant_003</v>
      </c>
      <c r="J7" s="4" t="str">
        <f>IFERROR(VLOOKUP(C7,Merchants!$A$2:$D$41,3,FALSE),"Merchant not found")</f>
        <v>grocery</v>
      </c>
      <c r="K7" s="4" t="str">
        <f>IFERROR(VLOOKUP(C7,Merchants!$A$2:$D$41,4,FALSE),"Merchant not found")</f>
        <v>East</v>
      </c>
      <c r="L7" s="4">
        <f>IFERROR(HLOOKUP(F7,Fee_Lookup!$B$1:$E$2,2,FALSE),"Fee not found")</f>
        <v>0</v>
      </c>
      <c r="M7" s="5">
        <f t="shared" si="1"/>
        <v>46028</v>
      </c>
      <c r="N7" s="4" t="str">
        <f t="shared" si="2"/>
        <v>3|2026-01-06</v>
      </c>
      <c r="O7" s="4">
        <f>IFERROR(VLOOKUP(N7,Merchant_Daily!$A:$B,2,FALSE),0)</f>
        <v>898</v>
      </c>
      <c r="P7" s="4" t="str">
        <f t="shared" si="3"/>
        <v>Standard Merchant Day</v>
      </c>
    </row>
    <row r="8">
      <c r="A8" s="1" t="s">
        <v>188</v>
      </c>
      <c r="B8" s="1">
        <v>236.0</v>
      </c>
      <c r="C8" s="1">
        <v>23.0</v>
      </c>
      <c r="D8" s="3">
        <v>46030.28611111111</v>
      </c>
      <c r="E8" s="1">
        <v>99.0</v>
      </c>
      <c r="F8" s="1" t="s">
        <v>26</v>
      </c>
      <c r="G8" s="1" t="s">
        <v>27</v>
      </c>
      <c r="H8" s="1">
        <v>39.0</v>
      </c>
      <c r="I8" s="4" t="str">
        <f>IFERROR(VLOOKUP(C8,Merchants!$A$2:$D$41,2,FALSE),"Merchant not found")</f>
        <v>Merchant_023</v>
      </c>
      <c r="J8" s="4" t="str">
        <f>IFERROR(VLOOKUP(C8,Merchants!$A$2:$D$41,3,FALSE),"Merchant not found")</f>
        <v>travel</v>
      </c>
      <c r="K8" s="4" t="str">
        <f>IFERROR(VLOOKUP(C8,Merchants!$A$2:$D$41,4,FALSE),"Merchant not found")</f>
        <v>North</v>
      </c>
      <c r="L8" s="4">
        <f>IFERROR(HLOOKUP(F8,Fee_Lookup!$B$1:$E$2,2,FALSE),"Fee not found")</f>
        <v>0.005</v>
      </c>
      <c r="M8" s="5">
        <f t="shared" si="1"/>
        <v>46030</v>
      </c>
      <c r="N8" s="4" t="str">
        <f t="shared" si="2"/>
        <v>23|2026-01-08</v>
      </c>
      <c r="O8" s="4">
        <f>IFERROR(VLOOKUP(N8,Merchant_Daily!$A:$B,2,FALSE),0)</f>
        <v>99</v>
      </c>
      <c r="P8" s="4" t="str">
        <f t="shared" si="3"/>
        <v>Standard Merchant Day</v>
      </c>
    </row>
    <row r="9">
      <c r="A9" s="1" t="s">
        <v>244</v>
      </c>
      <c r="B9" s="1">
        <v>13.0</v>
      </c>
      <c r="C9" s="1">
        <v>13.0</v>
      </c>
      <c r="D9" s="3">
        <v>46049.30138888889</v>
      </c>
      <c r="E9" s="1">
        <v>99.0</v>
      </c>
      <c r="F9" s="1" t="s">
        <v>35</v>
      </c>
      <c r="G9" s="1" t="s">
        <v>27</v>
      </c>
      <c r="H9" s="1">
        <v>51.0</v>
      </c>
      <c r="I9" s="4" t="str">
        <f>IFERROR(VLOOKUP(C9,Merchants!$A$2:$D$41,2,FALSE),"Merchant not found")</f>
        <v>Merchant_013</v>
      </c>
      <c r="J9" s="4" t="str">
        <f>IFERROR(VLOOKUP(C9,Merchants!$A$2:$D$41,3,FALSE),"Merchant not found")</f>
        <v>travel</v>
      </c>
      <c r="K9" s="4" t="str">
        <f>IFERROR(VLOOKUP(C9,Merchants!$A$2:$D$41,4,FALSE),"Merchant not found")</f>
        <v>East</v>
      </c>
      <c r="L9" s="4">
        <f>IFERROR(HLOOKUP(F9,Fee_Lookup!$B$1:$E$2,2,FALSE),"Fee not found")</f>
        <v>0</v>
      </c>
      <c r="M9" s="5">
        <f t="shared" si="1"/>
        <v>46049</v>
      </c>
      <c r="N9" s="4" t="str">
        <f t="shared" si="2"/>
        <v>13|2026-01-27</v>
      </c>
      <c r="O9" s="4">
        <f>IFERROR(VLOOKUP(N9,Merchant_Daily!$A:$B,2,FALSE),0)</f>
        <v>99</v>
      </c>
      <c r="P9" s="4" t="str">
        <f t="shared" si="3"/>
        <v>Standard Merchant Day</v>
      </c>
    </row>
    <row r="10">
      <c r="A10" s="1" t="s">
        <v>273</v>
      </c>
      <c r="B10" s="1">
        <v>36.0</v>
      </c>
      <c r="C10" s="1">
        <v>18.0</v>
      </c>
      <c r="D10" s="3">
        <v>46033.37152777778</v>
      </c>
      <c r="E10" s="1">
        <v>799.0</v>
      </c>
      <c r="F10" s="1" t="s">
        <v>35</v>
      </c>
      <c r="G10" s="1" t="s">
        <v>27</v>
      </c>
      <c r="H10" s="1">
        <v>44.0</v>
      </c>
      <c r="I10" s="4" t="str">
        <f>IFERROR(VLOOKUP(C10,Merchants!$A$2:$D$41,2,FALSE),"Merchant not found")</f>
        <v>Merchant_018</v>
      </c>
      <c r="J10" s="4" t="str">
        <f>IFERROR(VLOOKUP(C10,Merchants!$A$2:$D$41,3,FALSE),"Merchant not found")</f>
        <v>grocery</v>
      </c>
      <c r="K10" s="4" t="str">
        <f>IFERROR(VLOOKUP(C10,Merchants!$A$2:$D$41,4,FALSE),"Merchant not found")</f>
        <v>West</v>
      </c>
      <c r="L10" s="4">
        <f>IFERROR(HLOOKUP(F10,Fee_Lookup!$B$1:$E$2,2,FALSE),"Fee not found")</f>
        <v>0</v>
      </c>
      <c r="M10" s="5">
        <f t="shared" si="1"/>
        <v>46033</v>
      </c>
      <c r="N10" s="4" t="str">
        <f t="shared" si="2"/>
        <v>18|2026-01-11</v>
      </c>
      <c r="O10" s="4">
        <f>IFERROR(VLOOKUP(N10,Merchant_Daily!$A:$B,2,FALSE),0)</f>
        <v>799</v>
      </c>
      <c r="P10" s="4" t="str">
        <f t="shared" si="3"/>
        <v>Standard Merchant Day</v>
      </c>
    </row>
    <row r="11">
      <c r="A11" s="1" t="s">
        <v>307</v>
      </c>
      <c r="B11" s="1">
        <v>348.0</v>
      </c>
      <c r="C11" s="1">
        <v>35.0</v>
      </c>
      <c r="D11" s="3">
        <v>46043.68402777778</v>
      </c>
      <c r="E11" s="1">
        <v>299.0</v>
      </c>
      <c r="F11" s="1" t="s">
        <v>35</v>
      </c>
      <c r="G11" s="1" t="s">
        <v>27</v>
      </c>
      <c r="H11" s="1">
        <v>42.0</v>
      </c>
      <c r="I11" s="4" t="str">
        <f>IFERROR(VLOOKUP(C11,Merchants!$A$2:$D$41,2,FALSE),"Merchant not found")</f>
        <v>Merchant_035</v>
      </c>
      <c r="J11" s="4" t="str">
        <f>IFERROR(VLOOKUP(C11,Merchants!$A$2:$D$41,3,FALSE),"Merchant not found")</f>
        <v>recharge</v>
      </c>
      <c r="K11" s="4" t="str">
        <f>IFERROR(VLOOKUP(C11,Merchants!$A$2:$D$41,4,FALSE),"Merchant not found")</f>
        <v>East</v>
      </c>
      <c r="L11" s="4">
        <f>IFERROR(HLOOKUP(F11,Fee_Lookup!$B$1:$E$2,2,FALSE),"Fee not found")</f>
        <v>0</v>
      </c>
      <c r="M11" s="5">
        <f t="shared" si="1"/>
        <v>46043</v>
      </c>
      <c r="N11" s="4" t="str">
        <f t="shared" si="2"/>
        <v>35|2026-01-21</v>
      </c>
      <c r="O11" s="4">
        <f>IFERROR(VLOOKUP(N11,Merchant_Daily!$A:$B,2,FALSE),0)</f>
        <v>299</v>
      </c>
      <c r="P11" s="4" t="str">
        <f t="shared" si="3"/>
        <v>Standard Merchant Day</v>
      </c>
    </row>
    <row r="12">
      <c r="A12" s="1" t="s">
        <v>334</v>
      </c>
      <c r="B12" s="1">
        <v>134.0</v>
      </c>
      <c r="C12" s="1">
        <v>12.0</v>
      </c>
      <c r="D12" s="3">
        <v>46023.16388888889</v>
      </c>
      <c r="E12" s="1">
        <v>49.0</v>
      </c>
      <c r="F12" s="1" t="s">
        <v>35</v>
      </c>
      <c r="G12" s="1" t="s">
        <v>27</v>
      </c>
      <c r="H12" s="1">
        <v>74.0</v>
      </c>
      <c r="I12" s="4" t="str">
        <f>IFERROR(VLOOKUP(C12,Merchants!$A$2:$D$41,2,FALSE),"Merchant not found")</f>
        <v>Merchant_012</v>
      </c>
      <c r="J12" s="4" t="str">
        <f>IFERROR(VLOOKUP(C12,Merchants!$A$2:$D$41,3,FALSE),"Merchant not found")</f>
        <v>ecommerce</v>
      </c>
      <c r="K12" s="4" t="str">
        <f>IFERROR(VLOOKUP(C12,Merchants!$A$2:$D$41,4,FALSE),"Merchant not found")</f>
        <v>East</v>
      </c>
      <c r="L12" s="4">
        <f>IFERROR(HLOOKUP(F12,Fee_Lookup!$B$1:$E$2,2,FALSE),"Fee not found")</f>
        <v>0</v>
      </c>
      <c r="M12" s="5">
        <f t="shared" si="1"/>
        <v>46023</v>
      </c>
      <c r="N12" s="4" t="str">
        <f t="shared" si="2"/>
        <v>12|2026-01-01</v>
      </c>
      <c r="O12" s="4">
        <f>IFERROR(VLOOKUP(N12,Merchant_Daily!$A:$B,2,FALSE),0)</f>
        <v>548</v>
      </c>
      <c r="P12" s="4" t="str">
        <f t="shared" si="3"/>
        <v>Standard Merchant Day</v>
      </c>
    </row>
    <row r="13">
      <c r="A13" s="1" t="s">
        <v>358</v>
      </c>
      <c r="B13" s="1">
        <v>306.0</v>
      </c>
      <c r="C13" s="1">
        <v>28.0</v>
      </c>
      <c r="D13" s="3">
        <v>46031.04583333333</v>
      </c>
      <c r="E13" s="1">
        <v>2999.0</v>
      </c>
      <c r="F13" s="1" t="s">
        <v>46</v>
      </c>
      <c r="G13" s="1" t="s">
        <v>30</v>
      </c>
      <c r="H13" s="1">
        <v>44.0</v>
      </c>
      <c r="I13" s="4" t="str">
        <f>IFERROR(VLOOKUP(C13,Merchants!$A$2:$D$41,2,FALSE),"Merchant not found")</f>
        <v>Merchant_028</v>
      </c>
      <c r="J13" s="4" t="str">
        <f>IFERROR(VLOOKUP(C13,Merchants!$A$2:$D$41,3,FALSE),"Merchant not found")</f>
        <v>ecommerce</v>
      </c>
      <c r="K13" s="4" t="str">
        <f>IFERROR(VLOOKUP(C13,Merchants!$A$2:$D$41,4,FALSE),"Merchant not found")</f>
        <v>South</v>
      </c>
      <c r="L13" s="4">
        <f>IFERROR(HLOOKUP(F13,Fee_Lookup!$B$1:$E$2,2,FALSE),"Fee not found")</f>
        <v>0.01</v>
      </c>
      <c r="M13" s="5">
        <f t="shared" si="1"/>
        <v>46031</v>
      </c>
      <c r="N13" s="4" t="str">
        <f t="shared" si="2"/>
        <v>28|2026-01-09</v>
      </c>
      <c r="O13" s="4">
        <f>IFERROR(VLOOKUP(N13,Merchant_Daily!$A:$B,2,FALSE),0)</f>
        <v>2999</v>
      </c>
      <c r="P13" s="4" t="str">
        <f t="shared" si="3"/>
        <v>Standard Merchant Day</v>
      </c>
    </row>
    <row r="14">
      <c r="A14" s="1" t="s">
        <v>385</v>
      </c>
      <c r="B14" s="1">
        <v>311.0</v>
      </c>
      <c r="C14" s="1">
        <v>33.0</v>
      </c>
      <c r="D14" s="3">
        <v>46046.43541666667</v>
      </c>
      <c r="E14" s="1">
        <v>49.0</v>
      </c>
      <c r="F14" s="1" t="s">
        <v>26</v>
      </c>
      <c r="G14" s="1" t="s">
        <v>27</v>
      </c>
      <c r="H14" s="1">
        <v>14.0</v>
      </c>
      <c r="I14" s="4" t="str">
        <f>IFERROR(VLOOKUP(C14,Merchants!$A$2:$D$41,2,FALSE),"Merchant not found")</f>
        <v>Merchant_033</v>
      </c>
      <c r="J14" s="4" t="str">
        <f>IFERROR(VLOOKUP(C14,Merchants!$A$2:$D$41,3,FALSE),"Merchant not found")</f>
        <v>bill_payment</v>
      </c>
      <c r="K14" s="4" t="str">
        <f>IFERROR(VLOOKUP(C14,Merchants!$A$2:$D$41,4,FALSE),"Merchant not found")</f>
        <v>East</v>
      </c>
      <c r="L14" s="4">
        <f>IFERROR(HLOOKUP(F14,Fee_Lookup!$B$1:$E$2,2,FALSE),"Fee not found")</f>
        <v>0.005</v>
      </c>
      <c r="M14" s="5">
        <f t="shared" si="1"/>
        <v>46046</v>
      </c>
      <c r="N14" s="4" t="str">
        <f t="shared" si="2"/>
        <v>33|2026-01-24</v>
      </c>
      <c r="O14" s="4">
        <f>IFERROR(VLOOKUP(N14,Merchant_Daily!$A:$B,2,FALSE),0)</f>
        <v>49</v>
      </c>
      <c r="P14" s="4" t="str">
        <f t="shared" si="3"/>
        <v>Standard Merchant Day</v>
      </c>
    </row>
    <row r="15">
      <c r="A15" s="1" t="s">
        <v>411</v>
      </c>
      <c r="B15" s="1">
        <v>131.0</v>
      </c>
      <c r="C15" s="1">
        <v>3.0</v>
      </c>
      <c r="D15" s="3">
        <v>46035.75833333333</v>
      </c>
      <c r="E15" s="1">
        <v>49.0</v>
      </c>
      <c r="F15" s="1" t="s">
        <v>35</v>
      </c>
      <c r="G15" s="1" t="s">
        <v>27</v>
      </c>
      <c r="H15" s="1">
        <v>90.0</v>
      </c>
      <c r="I15" s="4" t="str">
        <f>IFERROR(VLOOKUP(C15,Merchants!$A$2:$D$41,2,FALSE),"Merchant not found")</f>
        <v>Merchant_003</v>
      </c>
      <c r="J15" s="4" t="str">
        <f>IFERROR(VLOOKUP(C15,Merchants!$A$2:$D$41,3,FALSE),"Merchant not found")</f>
        <v>grocery</v>
      </c>
      <c r="K15" s="4" t="str">
        <f>IFERROR(VLOOKUP(C15,Merchants!$A$2:$D$41,4,FALSE),"Merchant not found")</f>
        <v>East</v>
      </c>
      <c r="L15" s="4">
        <f>IFERROR(HLOOKUP(F15,Fee_Lookup!$B$1:$E$2,2,FALSE),"Fee not found")</f>
        <v>0</v>
      </c>
      <c r="M15" s="5">
        <f t="shared" si="1"/>
        <v>46035</v>
      </c>
      <c r="N15" s="4" t="str">
        <f t="shared" si="2"/>
        <v>3|2026-01-13</v>
      </c>
      <c r="O15" s="4">
        <f>IFERROR(VLOOKUP(N15,Merchant_Daily!$A:$B,2,FALSE),0)</f>
        <v>198</v>
      </c>
      <c r="P15" s="4" t="str">
        <f t="shared" si="3"/>
        <v>Standard Merchant Day</v>
      </c>
    </row>
    <row r="16">
      <c r="A16" s="1" t="s">
        <v>436</v>
      </c>
      <c r="B16" s="1">
        <v>276.0</v>
      </c>
      <c r="C16" s="1">
        <v>13.0</v>
      </c>
      <c r="D16" s="3">
        <v>46036.02291666667</v>
      </c>
      <c r="E16" s="1">
        <v>1499.0</v>
      </c>
      <c r="F16" s="1" t="s">
        <v>35</v>
      </c>
      <c r="G16" s="1" t="s">
        <v>27</v>
      </c>
      <c r="H16" s="1">
        <v>46.0</v>
      </c>
      <c r="I16" s="4" t="str">
        <f>IFERROR(VLOOKUP(C16,Merchants!$A$2:$D$41,2,FALSE),"Merchant not found")</f>
        <v>Merchant_013</v>
      </c>
      <c r="J16" s="4" t="str">
        <f>IFERROR(VLOOKUP(C16,Merchants!$A$2:$D$41,3,FALSE),"Merchant not found")</f>
        <v>travel</v>
      </c>
      <c r="K16" s="4" t="str">
        <f>IFERROR(VLOOKUP(C16,Merchants!$A$2:$D$41,4,FALSE),"Merchant not found")</f>
        <v>East</v>
      </c>
      <c r="L16" s="4">
        <f>IFERROR(HLOOKUP(F16,Fee_Lookup!$B$1:$E$2,2,FALSE),"Fee not found")</f>
        <v>0</v>
      </c>
      <c r="M16" s="5">
        <f t="shared" si="1"/>
        <v>46036</v>
      </c>
      <c r="N16" s="4" t="str">
        <f t="shared" si="2"/>
        <v>13|2026-01-14</v>
      </c>
      <c r="O16" s="4">
        <f>IFERROR(VLOOKUP(N16,Merchant_Daily!$A:$B,2,FALSE),0)</f>
        <v>1499</v>
      </c>
      <c r="P16" s="4" t="str">
        <f t="shared" si="3"/>
        <v>Standard Merchant Day</v>
      </c>
    </row>
    <row r="17">
      <c r="A17" s="1" t="s">
        <v>461</v>
      </c>
      <c r="B17" s="1">
        <v>170.0</v>
      </c>
      <c r="C17" s="1">
        <v>40.0</v>
      </c>
      <c r="D17" s="3">
        <v>46036.1125</v>
      </c>
      <c r="E17" s="1">
        <v>99.0</v>
      </c>
      <c r="F17" s="1" t="s">
        <v>35</v>
      </c>
      <c r="G17" s="1" t="s">
        <v>27</v>
      </c>
      <c r="H17" s="1">
        <v>40.0</v>
      </c>
      <c r="I17" s="4" t="str">
        <f>IFERROR(VLOOKUP(C17,Merchants!$A$2:$D$41,2,FALSE),"Merchant not found")</f>
        <v>Merchant_040</v>
      </c>
      <c r="J17" s="4" t="str">
        <f>IFERROR(VLOOKUP(C17,Merchants!$A$2:$D$41,3,FALSE),"Merchant not found")</f>
        <v>entertainment</v>
      </c>
      <c r="K17" s="4" t="str">
        <f>IFERROR(VLOOKUP(C17,Merchants!$A$2:$D$41,4,FALSE),"Merchant not found")</f>
        <v>South</v>
      </c>
      <c r="L17" s="4">
        <f>IFERROR(HLOOKUP(F17,Fee_Lookup!$B$1:$E$2,2,FALSE),"Fee not found")</f>
        <v>0</v>
      </c>
      <c r="M17" s="5">
        <f t="shared" si="1"/>
        <v>46036</v>
      </c>
      <c r="N17" s="4" t="str">
        <f t="shared" si="2"/>
        <v>40|2026-01-14</v>
      </c>
      <c r="O17" s="4">
        <f>IFERROR(VLOOKUP(N17,Merchant_Daily!$A:$B,2,FALSE),0)</f>
        <v>99</v>
      </c>
      <c r="P17" s="4" t="str">
        <f t="shared" si="3"/>
        <v>Standard Merchant Day</v>
      </c>
    </row>
    <row r="18">
      <c r="A18" s="1" t="s">
        <v>491</v>
      </c>
      <c r="B18" s="1">
        <v>154.0</v>
      </c>
      <c r="C18" s="1">
        <v>33.0</v>
      </c>
      <c r="D18" s="3">
        <v>46044.15694444445</v>
      </c>
      <c r="E18" s="1">
        <v>99.0</v>
      </c>
      <c r="F18" s="1" t="s">
        <v>47</v>
      </c>
      <c r="G18" s="1" t="s">
        <v>27</v>
      </c>
      <c r="H18" s="1">
        <v>39.0</v>
      </c>
      <c r="I18" s="4" t="str">
        <f>IFERROR(VLOOKUP(C18,Merchants!$A$2:$D$41,2,FALSE),"Merchant not found")</f>
        <v>Merchant_033</v>
      </c>
      <c r="J18" s="4" t="str">
        <f>IFERROR(VLOOKUP(C18,Merchants!$A$2:$D$41,3,FALSE),"Merchant not found")</f>
        <v>bill_payment</v>
      </c>
      <c r="K18" s="4" t="str">
        <f>IFERROR(VLOOKUP(C18,Merchants!$A$2:$D$41,4,FALSE),"Merchant not found")</f>
        <v>East</v>
      </c>
      <c r="L18" s="4">
        <f>IFERROR(HLOOKUP(F18,Fee_Lookup!$B$1:$E$2,2,FALSE),"Fee not found")</f>
        <v>0.015</v>
      </c>
      <c r="M18" s="5">
        <f t="shared" si="1"/>
        <v>46044</v>
      </c>
      <c r="N18" s="4" t="str">
        <f t="shared" si="2"/>
        <v>33|2026-01-22</v>
      </c>
      <c r="O18" s="4">
        <f>IFERROR(VLOOKUP(N18,Merchant_Daily!$A:$B,2,FALSE),0)</f>
        <v>99</v>
      </c>
      <c r="P18" s="4" t="str">
        <f t="shared" si="3"/>
        <v>Standard Merchant Day</v>
      </c>
    </row>
    <row r="19">
      <c r="A19" s="1" t="s">
        <v>518</v>
      </c>
      <c r="B19" s="1">
        <v>207.0</v>
      </c>
      <c r="C19" s="1">
        <v>19.0</v>
      </c>
      <c r="D19" s="3">
        <v>46044.555555555555</v>
      </c>
      <c r="E19" s="1">
        <v>2999.0</v>
      </c>
      <c r="F19" s="1" t="s">
        <v>46</v>
      </c>
      <c r="G19" s="1" t="s">
        <v>27</v>
      </c>
      <c r="H19" s="1">
        <v>70.0</v>
      </c>
      <c r="I19" s="4" t="str">
        <f>IFERROR(VLOOKUP(C19,Merchants!$A$2:$D$41,2,FALSE),"Merchant not found")</f>
        <v>Merchant_019</v>
      </c>
      <c r="J19" s="4" t="str">
        <f>IFERROR(VLOOKUP(C19,Merchants!$A$2:$D$41,3,FALSE),"Merchant not found")</f>
        <v>grocery</v>
      </c>
      <c r="K19" s="4" t="str">
        <f>IFERROR(VLOOKUP(C19,Merchants!$A$2:$D$41,4,FALSE),"Merchant not found")</f>
        <v>North</v>
      </c>
      <c r="L19" s="4">
        <f>IFERROR(HLOOKUP(F19,Fee_Lookup!$B$1:$E$2,2,FALSE),"Fee not found")</f>
        <v>0.01</v>
      </c>
      <c r="M19" s="5">
        <f t="shared" si="1"/>
        <v>46044</v>
      </c>
      <c r="N19" s="4" t="str">
        <f t="shared" si="2"/>
        <v>19|2026-01-22</v>
      </c>
      <c r="O19" s="4">
        <f>IFERROR(VLOOKUP(N19,Merchant_Daily!$A:$B,2,FALSE),0)</f>
        <v>2999</v>
      </c>
      <c r="P19" s="4" t="str">
        <f t="shared" si="3"/>
        <v>Standard Merchant Day</v>
      </c>
    </row>
    <row r="20">
      <c r="A20" s="1" t="s">
        <v>543</v>
      </c>
      <c r="B20" s="1">
        <v>341.0</v>
      </c>
      <c r="C20" s="1">
        <v>25.0</v>
      </c>
      <c r="D20" s="3">
        <v>46027.268055555556</v>
      </c>
      <c r="E20" s="1">
        <v>2999.0</v>
      </c>
      <c r="F20" s="1" t="s">
        <v>35</v>
      </c>
      <c r="G20" s="1" t="s">
        <v>27</v>
      </c>
      <c r="H20" s="1">
        <v>86.0</v>
      </c>
      <c r="I20" s="4" t="str">
        <f>IFERROR(VLOOKUP(C20,Merchants!$A$2:$D$41,2,FALSE),"Merchant not found")</f>
        <v>Merchant_025</v>
      </c>
      <c r="J20" s="4" t="str">
        <f>IFERROR(VLOOKUP(C20,Merchants!$A$2:$D$41,3,FALSE),"Merchant not found")</f>
        <v>travel</v>
      </c>
      <c r="K20" s="4" t="str">
        <f>IFERROR(VLOOKUP(C20,Merchants!$A$2:$D$41,4,FALSE),"Merchant not found")</f>
        <v>South</v>
      </c>
      <c r="L20" s="4">
        <f>IFERROR(HLOOKUP(F20,Fee_Lookup!$B$1:$E$2,2,FALSE),"Fee not found")</f>
        <v>0</v>
      </c>
      <c r="M20" s="5">
        <f t="shared" si="1"/>
        <v>46027</v>
      </c>
      <c r="N20" s="4" t="str">
        <f t="shared" si="2"/>
        <v>25|2026-01-05</v>
      </c>
      <c r="O20" s="4">
        <f>IFERROR(VLOOKUP(N20,Merchant_Daily!$A:$B,2,FALSE),0)</f>
        <v>4498</v>
      </c>
      <c r="P20" s="4" t="str">
        <f t="shared" si="3"/>
        <v>Standard Merchant Day</v>
      </c>
    </row>
    <row r="21">
      <c r="A21" s="1" t="s">
        <v>569</v>
      </c>
      <c r="B21" s="1">
        <v>292.0</v>
      </c>
      <c r="C21" s="1">
        <v>20.0</v>
      </c>
      <c r="D21" s="3">
        <v>46046.23541666667</v>
      </c>
      <c r="E21" s="1">
        <v>49.0</v>
      </c>
      <c r="F21" s="1" t="s">
        <v>35</v>
      </c>
      <c r="G21" s="1" t="s">
        <v>27</v>
      </c>
      <c r="H21" s="1">
        <v>51.0</v>
      </c>
      <c r="I21" s="4" t="str">
        <f>IFERROR(VLOOKUP(C21,Merchants!$A$2:$D$41,2,FALSE),"Merchant not found")</f>
        <v>Merchant_020</v>
      </c>
      <c r="J21" s="4" t="str">
        <f>IFERROR(VLOOKUP(C21,Merchants!$A$2:$D$41,3,FALSE),"Merchant not found")</f>
        <v>food_delivery</v>
      </c>
      <c r="K21" s="4" t="str">
        <f>IFERROR(VLOOKUP(C21,Merchants!$A$2:$D$41,4,FALSE),"Merchant not found")</f>
        <v>East</v>
      </c>
      <c r="L21" s="4">
        <f>IFERROR(HLOOKUP(F21,Fee_Lookup!$B$1:$E$2,2,FALSE),"Fee not found")</f>
        <v>0</v>
      </c>
      <c r="M21" s="5">
        <f t="shared" si="1"/>
        <v>46046</v>
      </c>
      <c r="N21" s="4" t="str">
        <f t="shared" si="2"/>
        <v>20|2026-01-24</v>
      </c>
      <c r="O21" s="4">
        <f>IFERROR(VLOOKUP(N21,Merchant_Daily!$A:$B,2,FALSE),0)</f>
        <v>49</v>
      </c>
      <c r="P21" s="4" t="str">
        <f t="shared" si="3"/>
        <v>Standard Merchant Day</v>
      </c>
    </row>
    <row r="22">
      <c r="A22" s="1" t="s">
        <v>592</v>
      </c>
      <c r="B22" s="1">
        <v>147.0</v>
      </c>
      <c r="C22" s="1">
        <v>14.0</v>
      </c>
      <c r="D22" s="3">
        <v>46040.013194444444</v>
      </c>
      <c r="E22" s="1">
        <v>99.0</v>
      </c>
      <c r="F22" s="1" t="s">
        <v>46</v>
      </c>
      <c r="G22" s="1" t="s">
        <v>27</v>
      </c>
      <c r="H22" s="1">
        <v>55.0</v>
      </c>
      <c r="I22" s="4" t="str">
        <f>IFERROR(VLOOKUP(C22,Merchants!$A$2:$D$41,2,FALSE),"Merchant not found")</f>
        <v>Merchant_014</v>
      </c>
      <c r="J22" s="4" t="str">
        <f>IFERROR(VLOOKUP(C22,Merchants!$A$2:$D$41,3,FALSE),"Merchant not found")</f>
        <v>grocery</v>
      </c>
      <c r="K22" s="4" t="str">
        <f>IFERROR(VLOOKUP(C22,Merchants!$A$2:$D$41,4,FALSE),"Merchant not found")</f>
        <v>East</v>
      </c>
      <c r="L22" s="4">
        <f>IFERROR(HLOOKUP(F22,Fee_Lookup!$B$1:$E$2,2,FALSE),"Fee not found")</f>
        <v>0.01</v>
      </c>
      <c r="M22" s="5">
        <f t="shared" si="1"/>
        <v>46040</v>
      </c>
      <c r="N22" s="4" t="str">
        <f t="shared" si="2"/>
        <v>14|2026-01-18</v>
      </c>
      <c r="O22" s="4">
        <f>IFERROR(VLOOKUP(N22,Merchant_Daily!$A:$B,2,FALSE),0)</f>
        <v>99</v>
      </c>
      <c r="P22" s="4" t="str">
        <f t="shared" si="3"/>
        <v>Standard Merchant Day</v>
      </c>
    </row>
    <row r="23">
      <c r="A23" s="1" t="s">
        <v>593</v>
      </c>
      <c r="B23" s="1">
        <v>336.0</v>
      </c>
      <c r="C23" s="1">
        <v>21.0</v>
      </c>
      <c r="D23" s="3">
        <v>46048.77638888889</v>
      </c>
      <c r="E23" s="1">
        <v>99.0</v>
      </c>
      <c r="F23" s="1" t="s">
        <v>35</v>
      </c>
      <c r="G23" s="1" t="s">
        <v>27</v>
      </c>
      <c r="H23" s="1">
        <v>59.0</v>
      </c>
      <c r="I23" s="4" t="str">
        <f>IFERROR(VLOOKUP(C23,Merchants!$A$2:$D$41,2,FALSE),"Merchant not found")</f>
        <v>Merchant_021</v>
      </c>
      <c r="J23" s="4" t="str">
        <f>IFERROR(VLOOKUP(C23,Merchants!$A$2:$D$41,3,FALSE),"Merchant not found")</f>
        <v>food_delivery</v>
      </c>
      <c r="K23" s="4" t="str">
        <f>IFERROR(VLOOKUP(C23,Merchants!$A$2:$D$41,4,FALSE),"Merchant not found")</f>
        <v>East</v>
      </c>
      <c r="L23" s="4">
        <f>IFERROR(HLOOKUP(F23,Fee_Lookup!$B$1:$E$2,2,FALSE),"Fee not found")</f>
        <v>0</v>
      </c>
      <c r="M23" s="5">
        <f t="shared" si="1"/>
        <v>46048</v>
      </c>
      <c r="N23" s="4" t="str">
        <f t="shared" si="2"/>
        <v>21|2026-01-26</v>
      </c>
      <c r="O23" s="4">
        <f>IFERROR(VLOOKUP(N23,Merchant_Daily!$A:$B,2,FALSE),0)</f>
        <v>99</v>
      </c>
      <c r="P23" s="4" t="str">
        <f t="shared" si="3"/>
        <v>Standard Merchant Day</v>
      </c>
    </row>
    <row r="24">
      <c r="A24" s="1" t="s">
        <v>594</v>
      </c>
      <c r="B24" s="1">
        <v>110.0</v>
      </c>
      <c r="C24" s="1">
        <v>33.0</v>
      </c>
      <c r="D24" s="3">
        <v>46037.61319444444</v>
      </c>
      <c r="E24" s="1">
        <v>799.0</v>
      </c>
      <c r="F24" s="1" t="s">
        <v>35</v>
      </c>
      <c r="G24" s="1" t="s">
        <v>27</v>
      </c>
      <c r="H24" s="1">
        <v>60.0</v>
      </c>
      <c r="I24" s="4" t="str">
        <f>IFERROR(VLOOKUP(C24,Merchants!$A$2:$D$41,2,FALSE),"Merchant not found")</f>
        <v>Merchant_033</v>
      </c>
      <c r="J24" s="4" t="str">
        <f>IFERROR(VLOOKUP(C24,Merchants!$A$2:$D$41,3,FALSE),"Merchant not found")</f>
        <v>bill_payment</v>
      </c>
      <c r="K24" s="4" t="str">
        <f>IFERROR(VLOOKUP(C24,Merchants!$A$2:$D$41,4,FALSE),"Merchant not found")</f>
        <v>East</v>
      </c>
      <c r="L24" s="4">
        <f>IFERROR(HLOOKUP(F24,Fee_Lookup!$B$1:$E$2,2,FALSE),"Fee not found")</f>
        <v>0</v>
      </c>
      <c r="M24" s="5">
        <f t="shared" si="1"/>
        <v>46037</v>
      </c>
      <c r="N24" s="4" t="str">
        <f t="shared" si="2"/>
        <v>33|2026-01-15</v>
      </c>
      <c r="O24" s="4">
        <f>IFERROR(VLOOKUP(N24,Merchant_Daily!$A:$B,2,FALSE),0)</f>
        <v>799</v>
      </c>
      <c r="P24" s="4" t="str">
        <f t="shared" si="3"/>
        <v>Standard Merchant Day</v>
      </c>
    </row>
    <row r="25">
      <c r="A25" s="1" t="s">
        <v>595</v>
      </c>
      <c r="B25" s="1">
        <v>338.0</v>
      </c>
      <c r="C25" s="1">
        <v>6.0</v>
      </c>
      <c r="D25" s="3">
        <v>46048.96527777778</v>
      </c>
      <c r="E25" s="1">
        <v>799.0</v>
      </c>
      <c r="F25" s="1" t="s">
        <v>35</v>
      </c>
      <c r="G25" s="1" t="s">
        <v>34</v>
      </c>
      <c r="H25" s="1">
        <v>36.0</v>
      </c>
      <c r="I25" s="4" t="str">
        <f>IFERROR(VLOOKUP(C25,Merchants!$A$2:$D$41,2,FALSE),"Merchant not found")</f>
        <v>Merchant_006</v>
      </c>
      <c r="J25" s="4" t="str">
        <f>IFERROR(VLOOKUP(C25,Merchants!$A$2:$D$41,3,FALSE),"Merchant not found")</f>
        <v>food_delivery</v>
      </c>
      <c r="K25" s="4" t="str">
        <f>IFERROR(VLOOKUP(C25,Merchants!$A$2:$D$41,4,FALSE),"Merchant not found")</f>
        <v>South</v>
      </c>
      <c r="L25" s="4">
        <f>IFERROR(HLOOKUP(F25,Fee_Lookup!$B$1:$E$2,2,FALSE),"Fee not found")</f>
        <v>0</v>
      </c>
      <c r="M25" s="5">
        <f t="shared" si="1"/>
        <v>46048</v>
      </c>
      <c r="N25" s="4" t="str">
        <f t="shared" si="2"/>
        <v>6|2026-01-26</v>
      </c>
      <c r="O25" s="4">
        <f>IFERROR(VLOOKUP(N25,Merchant_Daily!$A:$B,2,FALSE),0)</f>
        <v>897</v>
      </c>
      <c r="P25" s="4" t="str">
        <f t="shared" si="3"/>
        <v>Standard Merchant Day</v>
      </c>
    </row>
    <row r="26">
      <c r="A26" s="1" t="s">
        <v>596</v>
      </c>
      <c r="B26" s="1">
        <v>318.0</v>
      </c>
      <c r="C26" s="1">
        <v>22.0</v>
      </c>
      <c r="D26" s="3">
        <v>46039.90277777778</v>
      </c>
      <c r="E26" s="1">
        <v>799.0</v>
      </c>
      <c r="F26" s="1" t="s">
        <v>26</v>
      </c>
      <c r="G26" s="1" t="s">
        <v>27</v>
      </c>
      <c r="H26" s="1">
        <v>11.0</v>
      </c>
      <c r="I26" s="4" t="str">
        <f>IFERROR(VLOOKUP(C26,Merchants!$A$2:$D$41,2,FALSE),"Merchant not found")</f>
        <v>Merchant_022</v>
      </c>
      <c r="J26" s="4" t="str">
        <f>IFERROR(VLOOKUP(C26,Merchants!$A$2:$D$41,3,FALSE),"Merchant not found")</f>
        <v>travel</v>
      </c>
      <c r="K26" s="4" t="str">
        <f>IFERROR(VLOOKUP(C26,Merchants!$A$2:$D$41,4,FALSE),"Merchant not found")</f>
        <v>South</v>
      </c>
      <c r="L26" s="4">
        <f>IFERROR(HLOOKUP(F26,Fee_Lookup!$B$1:$E$2,2,FALSE),"Fee not found")</f>
        <v>0.005</v>
      </c>
      <c r="M26" s="5">
        <f t="shared" si="1"/>
        <v>46039</v>
      </c>
      <c r="N26" s="4" t="str">
        <f t="shared" si="2"/>
        <v>22|2026-01-17</v>
      </c>
      <c r="O26" s="4">
        <f>IFERROR(VLOOKUP(N26,Merchant_Daily!$A:$B,2,FALSE),0)</f>
        <v>1598</v>
      </c>
      <c r="P26" s="4" t="str">
        <f t="shared" si="3"/>
        <v>Standard Merchant Day</v>
      </c>
    </row>
    <row r="27">
      <c r="A27" s="1" t="s">
        <v>597</v>
      </c>
      <c r="B27" s="1">
        <v>159.0</v>
      </c>
      <c r="C27" s="1">
        <v>15.0</v>
      </c>
      <c r="D27" s="3">
        <v>46049.32152777778</v>
      </c>
      <c r="E27" s="1">
        <v>799.0</v>
      </c>
      <c r="F27" s="1" t="s">
        <v>35</v>
      </c>
      <c r="G27" s="1" t="s">
        <v>27</v>
      </c>
      <c r="H27" s="1">
        <v>25.0</v>
      </c>
      <c r="I27" s="4" t="str">
        <f>IFERROR(VLOOKUP(C27,Merchants!$A$2:$D$41,2,FALSE),"Merchant not found")</f>
        <v>Merchant_015</v>
      </c>
      <c r="J27" s="4" t="str">
        <f>IFERROR(VLOOKUP(C27,Merchants!$A$2:$D$41,3,FALSE),"Merchant not found")</f>
        <v>travel</v>
      </c>
      <c r="K27" s="4" t="str">
        <f>IFERROR(VLOOKUP(C27,Merchants!$A$2:$D$41,4,FALSE),"Merchant not found")</f>
        <v>North</v>
      </c>
      <c r="L27" s="4">
        <f>IFERROR(HLOOKUP(F27,Fee_Lookup!$B$1:$E$2,2,FALSE),"Fee not found")</f>
        <v>0</v>
      </c>
      <c r="M27" s="5">
        <f t="shared" si="1"/>
        <v>46049</v>
      </c>
      <c r="N27" s="4" t="str">
        <f t="shared" si="2"/>
        <v>15|2026-01-27</v>
      </c>
      <c r="O27" s="4">
        <f>IFERROR(VLOOKUP(N27,Merchant_Daily!$A:$B,2,FALSE),0)</f>
        <v>799</v>
      </c>
      <c r="P27" s="4" t="str">
        <f t="shared" si="3"/>
        <v>Standard Merchant Day</v>
      </c>
    </row>
    <row r="28">
      <c r="A28" s="1" t="s">
        <v>598</v>
      </c>
      <c r="B28" s="1">
        <v>126.0</v>
      </c>
      <c r="C28" s="1">
        <v>31.0</v>
      </c>
      <c r="D28" s="3">
        <v>46027.001388888886</v>
      </c>
      <c r="E28" s="1">
        <v>49.0</v>
      </c>
      <c r="F28" s="1" t="s">
        <v>46</v>
      </c>
      <c r="G28" s="1" t="s">
        <v>27</v>
      </c>
      <c r="H28" s="1">
        <v>78.0</v>
      </c>
      <c r="I28" s="4" t="str">
        <f>IFERROR(VLOOKUP(C28,Merchants!$A$2:$D$41,2,FALSE),"Merchant not found")</f>
        <v>Merchant_031</v>
      </c>
      <c r="J28" s="4" t="str">
        <f>IFERROR(VLOOKUP(C28,Merchants!$A$2:$D$41,3,FALSE),"Merchant not found")</f>
        <v>bill_payment</v>
      </c>
      <c r="K28" s="4" t="str">
        <f>IFERROR(VLOOKUP(C28,Merchants!$A$2:$D$41,4,FALSE),"Merchant not found")</f>
        <v>East</v>
      </c>
      <c r="L28" s="4">
        <f>IFERROR(HLOOKUP(F28,Fee_Lookup!$B$1:$E$2,2,FALSE),"Fee not found")</f>
        <v>0.01</v>
      </c>
      <c r="M28" s="5">
        <f t="shared" si="1"/>
        <v>46027</v>
      </c>
      <c r="N28" s="4" t="str">
        <f t="shared" si="2"/>
        <v>31|2026-01-05</v>
      </c>
      <c r="O28" s="4">
        <f>IFERROR(VLOOKUP(N28,Merchant_Daily!$A:$B,2,FALSE),0)</f>
        <v>49</v>
      </c>
      <c r="P28" s="4" t="str">
        <f t="shared" si="3"/>
        <v>Standard Merchant Day</v>
      </c>
    </row>
    <row r="29">
      <c r="A29" s="1" t="s">
        <v>599</v>
      </c>
      <c r="B29" s="1">
        <v>213.0</v>
      </c>
      <c r="C29" s="1">
        <v>37.0</v>
      </c>
      <c r="D29" s="3">
        <v>46050.103472222225</v>
      </c>
      <c r="E29" s="1">
        <v>99.0</v>
      </c>
      <c r="F29" s="1" t="s">
        <v>35</v>
      </c>
      <c r="G29" s="1" t="s">
        <v>27</v>
      </c>
      <c r="H29" s="1">
        <v>24.0</v>
      </c>
      <c r="I29" s="4" t="str">
        <f>IFERROR(VLOOKUP(C29,Merchants!$A$2:$D$41,2,FALSE),"Merchant not found")</f>
        <v>Merchant_037</v>
      </c>
      <c r="J29" s="4" t="str">
        <f>IFERROR(VLOOKUP(C29,Merchants!$A$2:$D$41,3,FALSE),"Merchant not found")</f>
        <v>entertainment</v>
      </c>
      <c r="K29" s="4" t="str">
        <f>IFERROR(VLOOKUP(C29,Merchants!$A$2:$D$41,4,FALSE),"Merchant not found")</f>
        <v>South</v>
      </c>
      <c r="L29" s="4">
        <f>IFERROR(HLOOKUP(F29,Fee_Lookup!$B$1:$E$2,2,FALSE),"Fee not found")</f>
        <v>0</v>
      </c>
      <c r="M29" s="5">
        <f t="shared" si="1"/>
        <v>46050</v>
      </c>
      <c r="N29" s="4" t="str">
        <f t="shared" si="2"/>
        <v>37|2026-01-28</v>
      </c>
      <c r="O29" s="4">
        <f>IFERROR(VLOOKUP(N29,Merchant_Daily!$A:$B,2,FALSE),0)</f>
        <v>697</v>
      </c>
      <c r="P29" s="4" t="str">
        <f t="shared" si="3"/>
        <v>Standard Merchant Day</v>
      </c>
    </row>
    <row r="30">
      <c r="A30" s="1" t="s">
        <v>600</v>
      </c>
      <c r="B30" s="1">
        <v>254.0</v>
      </c>
      <c r="C30" s="1">
        <v>26.0</v>
      </c>
      <c r="D30" s="3">
        <v>46045.933333333334</v>
      </c>
      <c r="E30" s="1">
        <v>99.0</v>
      </c>
      <c r="F30" s="1" t="s">
        <v>26</v>
      </c>
      <c r="G30" s="1" t="s">
        <v>27</v>
      </c>
      <c r="H30" s="1">
        <v>31.0</v>
      </c>
      <c r="I30" s="4" t="str">
        <f>IFERROR(VLOOKUP(C30,Merchants!$A$2:$D$41,2,FALSE),"Merchant not found")</f>
        <v>Merchant_026</v>
      </c>
      <c r="J30" s="4" t="str">
        <f>IFERROR(VLOOKUP(C30,Merchants!$A$2:$D$41,3,FALSE),"Merchant not found")</f>
        <v>food_delivery</v>
      </c>
      <c r="K30" s="4" t="str">
        <f>IFERROR(VLOOKUP(C30,Merchants!$A$2:$D$41,4,FALSE),"Merchant not found")</f>
        <v>East</v>
      </c>
      <c r="L30" s="4">
        <f>IFERROR(HLOOKUP(F30,Fee_Lookup!$B$1:$E$2,2,FALSE),"Fee not found")</f>
        <v>0.005</v>
      </c>
      <c r="M30" s="5">
        <f t="shared" si="1"/>
        <v>46045</v>
      </c>
      <c r="N30" s="4" t="str">
        <f t="shared" si="2"/>
        <v>26|2026-01-23</v>
      </c>
      <c r="O30" s="4">
        <f>IFERROR(VLOOKUP(N30,Merchant_Daily!$A:$B,2,FALSE),0)</f>
        <v>99</v>
      </c>
      <c r="P30" s="4" t="str">
        <f t="shared" si="3"/>
        <v>Standard Merchant Day</v>
      </c>
    </row>
    <row r="31">
      <c r="A31" s="1" t="s">
        <v>601</v>
      </c>
      <c r="B31" s="1">
        <v>3.0</v>
      </c>
      <c r="C31" s="1">
        <v>7.0</v>
      </c>
      <c r="D31" s="3">
        <v>46027.86388888889</v>
      </c>
      <c r="E31" s="1">
        <v>1499.0</v>
      </c>
      <c r="F31" s="1" t="s">
        <v>35</v>
      </c>
      <c r="G31" s="1" t="s">
        <v>27</v>
      </c>
      <c r="H31" s="1">
        <v>99.0</v>
      </c>
      <c r="I31" s="4" t="str">
        <f>IFERROR(VLOOKUP(C31,Merchants!$A$2:$D$41,2,FALSE),"Merchant not found")</f>
        <v>Merchant_007</v>
      </c>
      <c r="J31" s="4" t="str">
        <f>IFERROR(VLOOKUP(C31,Merchants!$A$2:$D$41,3,FALSE),"Merchant not found")</f>
        <v>food_delivery</v>
      </c>
      <c r="K31" s="4" t="str">
        <f>IFERROR(VLOOKUP(C31,Merchants!$A$2:$D$41,4,FALSE),"Merchant not found")</f>
        <v>East</v>
      </c>
      <c r="L31" s="4">
        <f>IFERROR(HLOOKUP(F31,Fee_Lookup!$B$1:$E$2,2,FALSE),"Fee not found")</f>
        <v>0</v>
      </c>
      <c r="M31" s="5">
        <f t="shared" si="1"/>
        <v>46027</v>
      </c>
      <c r="N31" s="4" t="str">
        <f t="shared" si="2"/>
        <v>7|2026-01-05</v>
      </c>
      <c r="O31" s="4">
        <f>IFERROR(VLOOKUP(N31,Merchant_Daily!$A:$B,2,FALSE),0)</f>
        <v>4498</v>
      </c>
      <c r="P31" s="4" t="str">
        <f t="shared" si="3"/>
        <v>Standard Merchant Day</v>
      </c>
    </row>
    <row r="32">
      <c r="A32" s="1" t="s">
        <v>602</v>
      </c>
      <c r="B32" s="1">
        <v>266.0</v>
      </c>
      <c r="C32" s="1">
        <v>30.0</v>
      </c>
      <c r="D32" s="3">
        <v>46036.299305555556</v>
      </c>
      <c r="E32" s="1">
        <v>499.0</v>
      </c>
      <c r="F32" s="1" t="s">
        <v>46</v>
      </c>
      <c r="G32" s="1" t="s">
        <v>27</v>
      </c>
      <c r="H32" s="1">
        <v>6.0</v>
      </c>
      <c r="I32" s="4" t="str">
        <f>IFERROR(VLOOKUP(C32,Merchants!$A$2:$D$41,2,FALSE),"Merchant not found")</f>
        <v>Merchant_030</v>
      </c>
      <c r="J32" s="4" t="str">
        <f>IFERROR(VLOOKUP(C32,Merchants!$A$2:$D$41,3,FALSE),"Merchant not found")</f>
        <v>travel</v>
      </c>
      <c r="K32" s="4" t="str">
        <f>IFERROR(VLOOKUP(C32,Merchants!$A$2:$D$41,4,FALSE),"Merchant not found")</f>
        <v>West</v>
      </c>
      <c r="L32" s="4">
        <f>IFERROR(HLOOKUP(F32,Fee_Lookup!$B$1:$E$2,2,FALSE),"Fee not found")</f>
        <v>0.01</v>
      </c>
      <c r="M32" s="5">
        <f t="shared" si="1"/>
        <v>46036</v>
      </c>
      <c r="N32" s="4" t="str">
        <f t="shared" si="2"/>
        <v>30|2026-01-14</v>
      </c>
      <c r="O32" s="4">
        <f>IFERROR(VLOOKUP(N32,Merchant_Daily!$A:$B,2,FALSE),0)</f>
        <v>2497</v>
      </c>
      <c r="P32" s="4" t="str">
        <f t="shared" si="3"/>
        <v>Standard Merchant Day</v>
      </c>
    </row>
    <row r="33">
      <c r="A33" s="1" t="s">
        <v>603</v>
      </c>
      <c r="B33" s="1">
        <v>63.0</v>
      </c>
      <c r="C33" s="1">
        <v>30.0</v>
      </c>
      <c r="D33" s="3">
        <v>46040.33194444444</v>
      </c>
      <c r="E33" s="1">
        <v>799.0</v>
      </c>
      <c r="F33" s="1" t="s">
        <v>35</v>
      </c>
      <c r="G33" s="1" t="s">
        <v>27</v>
      </c>
      <c r="H33" s="1">
        <v>17.0</v>
      </c>
      <c r="I33" s="4" t="str">
        <f>IFERROR(VLOOKUP(C33,Merchants!$A$2:$D$41,2,FALSE),"Merchant not found")</f>
        <v>Merchant_030</v>
      </c>
      <c r="J33" s="4" t="str">
        <f>IFERROR(VLOOKUP(C33,Merchants!$A$2:$D$41,3,FALSE),"Merchant not found")</f>
        <v>travel</v>
      </c>
      <c r="K33" s="4" t="str">
        <f>IFERROR(VLOOKUP(C33,Merchants!$A$2:$D$41,4,FALSE),"Merchant not found")</f>
        <v>West</v>
      </c>
      <c r="L33" s="4">
        <f>IFERROR(HLOOKUP(F33,Fee_Lookup!$B$1:$E$2,2,FALSE),"Fee not found")</f>
        <v>0</v>
      </c>
      <c r="M33" s="5">
        <f t="shared" si="1"/>
        <v>46040</v>
      </c>
      <c r="N33" s="4" t="str">
        <f t="shared" si="2"/>
        <v>30|2026-01-18</v>
      </c>
      <c r="O33" s="4">
        <f>IFERROR(VLOOKUP(N33,Merchant_Daily!$A:$B,2,FALSE),0)</f>
        <v>799</v>
      </c>
      <c r="P33" s="4" t="str">
        <f t="shared" si="3"/>
        <v>Standard Merchant Day</v>
      </c>
    </row>
    <row r="34">
      <c r="A34" s="1" t="s">
        <v>604</v>
      </c>
      <c r="B34" s="1">
        <v>272.0</v>
      </c>
      <c r="C34" s="1">
        <v>36.0</v>
      </c>
      <c r="D34" s="3">
        <v>46048.6125</v>
      </c>
      <c r="E34" s="1">
        <v>149.0</v>
      </c>
      <c r="F34" s="1" t="s">
        <v>35</v>
      </c>
      <c r="G34" s="1" t="s">
        <v>27</v>
      </c>
      <c r="H34" s="1">
        <v>76.0</v>
      </c>
      <c r="I34" s="4" t="str">
        <f>IFERROR(VLOOKUP(C34,Merchants!$A$2:$D$41,2,FALSE),"Merchant not found")</f>
        <v>Merchant_036</v>
      </c>
      <c r="J34" s="4" t="str">
        <f>IFERROR(VLOOKUP(C34,Merchants!$A$2:$D$41,3,FALSE),"Merchant not found")</f>
        <v>entertainment</v>
      </c>
      <c r="K34" s="4" t="str">
        <f>IFERROR(VLOOKUP(C34,Merchants!$A$2:$D$41,4,FALSE),"Merchant not found")</f>
        <v>East</v>
      </c>
      <c r="L34" s="4">
        <f>IFERROR(HLOOKUP(F34,Fee_Lookup!$B$1:$E$2,2,FALSE),"Fee not found")</f>
        <v>0</v>
      </c>
      <c r="M34" s="5">
        <f t="shared" si="1"/>
        <v>46048</v>
      </c>
      <c r="N34" s="4" t="str">
        <f t="shared" si="2"/>
        <v>36|2026-01-26</v>
      </c>
      <c r="O34" s="4">
        <f>IFERROR(VLOOKUP(N34,Merchant_Daily!$A:$B,2,FALSE),0)</f>
        <v>198</v>
      </c>
      <c r="P34" s="4" t="str">
        <f t="shared" si="3"/>
        <v>Standard Merchant Day</v>
      </c>
    </row>
    <row r="35">
      <c r="A35" s="1" t="s">
        <v>605</v>
      </c>
      <c r="B35" s="1">
        <v>259.0</v>
      </c>
      <c r="C35" s="1">
        <v>28.0</v>
      </c>
      <c r="D35" s="3">
        <v>46033.61041666667</v>
      </c>
      <c r="E35" s="1">
        <v>49.0</v>
      </c>
      <c r="F35" s="1" t="s">
        <v>26</v>
      </c>
      <c r="G35" s="1" t="s">
        <v>27</v>
      </c>
      <c r="H35" s="1">
        <v>70.0</v>
      </c>
      <c r="I35" s="4" t="str">
        <f>IFERROR(VLOOKUP(C35,Merchants!$A$2:$D$41,2,FALSE),"Merchant not found")</f>
        <v>Merchant_028</v>
      </c>
      <c r="J35" s="4" t="str">
        <f>IFERROR(VLOOKUP(C35,Merchants!$A$2:$D$41,3,FALSE),"Merchant not found")</f>
        <v>ecommerce</v>
      </c>
      <c r="K35" s="4" t="str">
        <f>IFERROR(VLOOKUP(C35,Merchants!$A$2:$D$41,4,FALSE),"Merchant not found")</f>
        <v>South</v>
      </c>
      <c r="L35" s="4">
        <f>IFERROR(HLOOKUP(F35,Fee_Lookup!$B$1:$E$2,2,FALSE),"Fee not found")</f>
        <v>0.005</v>
      </c>
      <c r="M35" s="5">
        <f t="shared" si="1"/>
        <v>46033</v>
      </c>
      <c r="N35" s="4" t="str">
        <f t="shared" si="2"/>
        <v>28|2026-01-11</v>
      </c>
      <c r="O35" s="4">
        <f>IFERROR(VLOOKUP(N35,Merchant_Daily!$A:$B,2,FALSE),0)</f>
        <v>49</v>
      </c>
      <c r="P35" s="4" t="str">
        <f t="shared" si="3"/>
        <v>Standard Merchant Day</v>
      </c>
    </row>
    <row r="36">
      <c r="A36" s="1" t="s">
        <v>606</v>
      </c>
      <c r="B36" s="1">
        <v>244.0</v>
      </c>
      <c r="C36" s="1">
        <v>29.0</v>
      </c>
      <c r="D36" s="3">
        <v>46037.24097222222</v>
      </c>
      <c r="E36" s="1">
        <v>299.0</v>
      </c>
      <c r="F36" s="1" t="s">
        <v>47</v>
      </c>
      <c r="G36" s="1" t="s">
        <v>27</v>
      </c>
      <c r="H36" s="1">
        <v>33.0</v>
      </c>
      <c r="I36" s="4" t="str">
        <f>IFERROR(VLOOKUP(C36,Merchants!$A$2:$D$41,2,FALSE),"Merchant not found")</f>
        <v>Merchant_029</v>
      </c>
      <c r="J36" s="4" t="str">
        <f>IFERROR(VLOOKUP(C36,Merchants!$A$2:$D$41,3,FALSE),"Merchant not found")</f>
        <v>ecommerce</v>
      </c>
      <c r="K36" s="4" t="str">
        <f>IFERROR(VLOOKUP(C36,Merchants!$A$2:$D$41,4,FALSE),"Merchant not found")</f>
        <v>North</v>
      </c>
      <c r="L36" s="4">
        <f>IFERROR(HLOOKUP(F36,Fee_Lookup!$B$1:$E$2,2,FALSE),"Fee not found")</f>
        <v>0.015</v>
      </c>
      <c r="M36" s="5">
        <f t="shared" si="1"/>
        <v>46037</v>
      </c>
      <c r="N36" s="4" t="str">
        <f t="shared" si="2"/>
        <v>29|2026-01-15</v>
      </c>
      <c r="O36" s="4">
        <f>IFERROR(VLOOKUP(N36,Merchant_Daily!$A:$B,2,FALSE),0)</f>
        <v>1098</v>
      </c>
      <c r="P36" s="4" t="str">
        <f t="shared" si="3"/>
        <v>Standard Merchant Day</v>
      </c>
    </row>
    <row r="37">
      <c r="A37" s="1" t="s">
        <v>607</v>
      </c>
      <c r="B37" s="1">
        <v>327.0</v>
      </c>
      <c r="C37" s="1">
        <v>18.0</v>
      </c>
      <c r="D37" s="3">
        <v>46047.32847222222</v>
      </c>
      <c r="E37" s="1">
        <v>149.0</v>
      </c>
      <c r="F37" s="1" t="s">
        <v>46</v>
      </c>
      <c r="G37" s="1" t="s">
        <v>27</v>
      </c>
      <c r="H37" s="1">
        <v>98.0</v>
      </c>
      <c r="I37" s="4" t="str">
        <f>IFERROR(VLOOKUP(C37,Merchants!$A$2:$D$41,2,FALSE),"Merchant not found")</f>
        <v>Merchant_018</v>
      </c>
      <c r="J37" s="4" t="str">
        <f>IFERROR(VLOOKUP(C37,Merchants!$A$2:$D$41,3,FALSE),"Merchant not found")</f>
        <v>grocery</v>
      </c>
      <c r="K37" s="4" t="str">
        <f>IFERROR(VLOOKUP(C37,Merchants!$A$2:$D$41,4,FALSE),"Merchant not found")</f>
        <v>West</v>
      </c>
      <c r="L37" s="4">
        <f>IFERROR(HLOOKUP(F37,Fee_Lookup!$B$1:$E$2,2,FALSE),"Fee not found")</f>
        <v>0.01</v>
      </c>
      <c r="M37" s="5">
        <f t="shared" si="1"/>
        <v>46047</v>
      </c>
      <c r="N37" s="4" t="str">
        <f t="shared" si="2"/>
        <v>18|2026-01-25</v>
      </c>
      <c r="O37" s="4">
        <f>IFERROR(VLOOKUP(N37,Merchant_Daily!$A:$B,2,FALSE),0)</f>
        <v>1648</v>
      </c>
      <c r="P37" s="4" t="str">
        <f t="shared" si="3"/>
        <v>Standard Merchant Day</v>
      </c>
    </row>
    <row r="38">
      <c r="A38" s="1" t="s">
        <v>608</v>
      </c>
      <c r="B38" s="1">
        <v>321.0</v>
      </c>
      <c r="C38" s="1">
        <v>16.0</v>
      </c>
      <c r="D38" s="3">
        <v>46047.68819444445</v>
      </c>
      <c r="E38" s="1">
        <v>49.0</v>
      </c>
      <c r="F38" s="1" t="s">
        <v>35</v>
      </c>
      <c r="G38" s="1" t="s">
        <v>27</v>
      </c>
      <c r="H38" s="1">
        <v>35.0</v>
      </c>
      <c r="I38" s="4" t="str">
        <f>IFERROR(VLOOKUP(C38,Merchants!$A$2:$D$41,2,FALSE),"Merchant not found")</f>
        <v>Merchant_016</v>
      </c>
      <c r="J38" s="4" t="str">
        <f>IFERROR(VLOOKUP(C38,Merchants!$A$2:$D$41,3,FALSE),"Merchant not found")</f>
        <v>bill_payment</v>
      </c>
      <c r="K38" s="4" t="str">
        <f>IFERROR(VLOOKUP(C38,Merchants!$A$2:$D$41,4,FALSE),"Merchant not found")</f>
        <v>West</v>
      </c>
      <c r="L38" s="4">
        <f>IFERROR(HLOOKUP(F38,Fee_Lookup!$B$1:$E$2,2,FALSE),"Fee not found")</f>
        <v>0</v>
      </c>
      <c r="M38" s="5">
        <f t="shared" si="1"/>
        <v>46047</v>
      </c>
      <c r="N38" s="4" t="str">
        <f t="shared" si="2"/>
        <v>16|2026-01-25</v>
      </c>
      <c r="O38" s="4">
        <f>IFERROR(VLOOKUP(N38,Merchant_Daily!$A:$B,2,FALSE),0)</f>
        <v>98</v>
      </c>
      <c r="P38" s="4" t="str">
        <f t="shared" si="3"/>
        <v>Standard Merchant Day</v>
      </c>
    </row>
    <row r="39">
      <c r="A39" s="1" t="s">
        <v>609</v>
      </c>
      <c r="B39" s="1">
        <v>147.0</v>
      </c>
      <c r="C39" s="1">
        <v>16.0</v>
      </c>
      <c r="D39" s="3">
        <v>46037.114583333336</v>
      </c>
      <c r="E39" s="1">
        <v>2999.0</v>
      </c>
      <c r="F39" s="1" t="s">
        <v>46</v>
      </c>
      <c r="G39" s="1" t="s">
        <v>27</v>
      </c>
      <c r="H39" s="1">
        <v>34.0</v>
      </c>
      <c r="I39" s="4" t="str">
        <f>IFERROR(VLOOKUP(C39,Merchants!$A$2:$D$41,2,FALSE),"Merchant not found")</f>
        <v>Merchant_016</v>
      </c>
      <c r="J39" s="4" t="str">
        <f>IFERROR(VLOOKUP(C39,Merchants!$A$2:$D$41,3,FALSE),"Merchant not found")</f>
        <v>bill_payment</v>
      </c>
      <c r="K39" s="4" t="str">
        <f>IFERROR(VLOOKUP(C39,Merchants!$A$2:$D$41,4,FALSE),"Merchant not found")</f>
        <v>West</v>
      </c>
      <c r="L39" s="4">
        <f>IFERROR(HLOOKUP(F39,Fee_Lookup!$B$1:$E$2,2,FALSE),"Fee not found")</f>
        <v>0.01</v>
      </c>
      <c r="M39" s="5">
        <f t="shared" si="1"/>
        <v>46037</v>
      </c>
      <c r="N39" s="4" t="str">
        <f t="shared" si="2"/>
        <v>16|2026-01-15</v>
      </c>
      <c r="O39" s="4">
        <f>IFERROR(VLOOKUP(N39,Merchant_Daily!$A:$B,2,FALSE),0)</f>
        <v>2999</v>
      </c>
      <c r="P39" s="4" t="str">
        <f t="shared" si="3"/>
        <v>Standard Merchant Day</v>
      </c>
    </row>
    <row r="40">
      <c r="A40" s="1" t="s">
        <v>610</v>
      </c>
      <c r="B40" s="1">
        <v>277.0</v>
      </c>
      <c r="C40" s="1">
        <v>6.0</v>
      </c>
      <c r="D40" s="3">
        <v>46033.45625</v>
      </c>
      <c r="E40" s="1">
        <v>1499.0</v>
      </c>
      <c r="F40" s="1" t="s">
        <v>46</v>
      </c>
      <c r="G40" s="1" t="s">
        <v>27</v>
      </c>
      <c r="H40" s="1">
        <v>17.0</v>
      </c>
      <c r="I40" s="4" t="str">
        <f>IFERROR(VLOOKUP(C40,Merchants!$A$2:$D$41,2,FALSE),"Merchant not found")</f>
        <v>Merchant_006</v>
      </c>
      <c r="J40" s="4" t="str">
        <f>IFERROR(VLOOKUP(C40,Merchants!$A$2:$D$41,3,FALSE),"Merchant not found")</f>
        <v>food_delivery</v>
      </c>
      <c r="K40" s="4" t="str">
        <f>IFERROR(VLOOKUP(C40,Merchants!$A$2:$D$41,4,FALSE),"Merchant not found")</f>
        <v>South</v>
      </c>
      <c r="L40" s="4">
        <f>IFERROR(HLOOKUP(F40,Fee_Lookup!$B$1:$E$2,2,FALSE),"Fee not found")</f>
        <v>0.01</v>
      </c>
      <c r="M40" s="5">
        <f t="shared" si="1"/>
        <v>46033</v>
      </c>
      <c r="N40" s="4" t="str">
        <f t="shared" si="2"/>
        <v>6|2026-01-11</v>
      </c>
      <c r="O40" s="4">
        <f>IFERROR(VLOOKUP(N40,Merchant_Daily!$A:$B,2,FALSE),0)</f>
        <v>1499</v>
      </c>
      <c r="P40" s="4" t="str">
        <f t="shared" si="3"/>
        <v>Standard Merchant Day</v>
      </c>
    </row>
    <row r="41">
      <c r="A41" s="1" t="s">
        <v>611</v>
      </c>
      <c r="B41" s="1">
        <v>79.0</v>
      </c>
      <c r="C41" s="1">
        <v>14.0</v>
      </c>
      <c r="D41" s="3">
        <v>46027.308333333334</v>
      </c>
      <c r="E41" s="1">
        <v>1499.0</v>
      </c>
      <c r="F41" s="1" t="s">
        <v>35</v>
      </c>
      <c r="G41" s="1" t="s">
        <v>27</v>
      </c>
      <c r="H41" s="1">
        <v>8.0</v>
      </c>
      <c r="I41" s="4" t="str">
        <f>IFERROR(VLOOKUP(C41,Merchants!$A$2:$D$41,2,FALSE),"Merchant not found")</f>
        <v>Merchant_014</v>
      </c>
      <c r="J41" s="4" t="str">
        <f>IFERROR(VLOOKUP(C41,Merchants!$A$2:$D$41,3,FALSE),"Merchant not found")</f>
        <v>grocery</v>
      </c>
      <c r="K41" s="4" t="str">
        <f>IFERROR(VLOOKUP(C41,Merchants!$A$2:$D$41,4,FALSE),"Merchant not found")</f>
        <v>East</v>
      </c>
      <c r="L41" s="4">
        <f>IFERROR(HLOOKUP(F41,Fee_Lookup!$B$1:$E$2,2,FALSE),"Fee not found")</f>
        <v>0</v>
      </c>
      <c r="M41" s="5">
        <f t="shared" si="1"/>
        <v>46027</v>
      </c>
      <c r="N41" s="4" t="str">
        <f t="shared" si="2"/>
        <v>14|2026-01-05</v>
      </c>
      <c r="O41" s="4">
        <f>IFERROR(VLOOKUP(N41,Merchant_Daily!$A:$B,2,FALSE),0)</f>
        <v>1499</v>
      </c>
      <c r="P41" s="4" t="str">
        <f t="shared" si="3"/>
        <v>Standard Merchant Day</v>
      </c>
    </row>
    <row r="42">
      <c r="A42" s="1" t="s">
        <v>612</v>
      </c>
      <c r="B42" s="1">
        <v>278.0</v>
      </c>
      <c r="C42" s="1">
        <v>30.0</v>
      </c>
      <c r="D42" s="3">
        <v>46036.55625</v>
      </c>
      <c r="E42" s="1">
        <v>1499.0</v>
      </c>
      <c r="F42" s="1" t="s">
        <v>35</v>
      </c>
      <c r="G42" s="1" t="s">
        <v>27</v>
      </c>
      <c r="H42" s="1">
        <v>53.0</v>
      </c>
      <c r="I42" s="4" t="str">
        <f>IFERROR(VLOOKUP(C42,Merchants!$A$2:$D$41,2,FALSE),"Merchant not found")</f>
        <v>Merchant_030</v>
      </c>
      <c r="J42" s="4" t="str">
        <f>IFERROR(VLOOKUP(C42,Merchants!$A$2:$D$41,3,FALSE),"Merchant not found")</f>
        <v>travel</v>
      </c>
      <c r="K42" s="4" t="str">
        <f>IFERROR(VLOOKUP(C42,Merchants!$A$2:$D$41,4,FALSE),"Merchant not found")</f>
        <v>West</v>
      </c>
      <c r="L42" s="4">
        <f>IFERROR(HLOOKUP(F42,Fee_Lookup!$B$1:$E$2,2,FALSE),"Fee not found")</f>
        <v>0</v>
      </c>
      <c r="M42" s="5">
        <f t="shared" si="1"/>
        <v>46036</v>
      </c>
      <c r="N42" s="4" t="str">
        <f t="shared" si="2"/>
        <v>30|2026-01-14</v>
      </c>
      <c r="O42" s="4">
        <f>IFERROR(VLOOKUP(N42,Merchant_Daily!$A:$B,2,FALSE),0)</f>
        <v>2497</v>
      </c>
      <c r="P42" s="4" t="str">
        <f t="shared" si="3"/>
        <v>Standard Merchant Day</v>
      </c>
    </row>
    <row r="43">
      <c r="A43" s="1" t="s">
        <v>613</v>
      </c>
      <c r="B43" s="1">
        <v>216.0</v>
      </c>
      <c r="C43" s="1">
        <v>25.0</v>
      </c>
      <c r="D43" s="3">
        <v>46024.28680555556</v>
      </c>
      <c r="E43" s="1">
        <v>99.0</v>
      </c>
      <c r="F43" s="1" t="s">
        <v>35</v>
      </c>
      <c r="G43" s="1" t="s">
        <v>27</v>
      </c>
      <c r="H43" s="1">
        <v>98.0</v>
      </c>
      <c r="I43" s="4" t="str">
        <f>IFERROR(VLOOKUP(C43,Merchants!$A$2:$D$41,2,FALSE),"Merchant not found")</f>
        <v>Merchant_025</v>
      </c>
      <c r="J43" s="4" t="str">
        <f>IFERROR(VLOOKUP(C43,Merchants!$A$2:$D$41,3,FALSE),"Merchant not found")</f>
        <v>travel</v>
      </c>
      <c r="K43" s="4" t="str">
        <f>IFERROR(VLOOKUP(C43,Merchants!$A$2:$D$41,4,FALSE),"Merchant not found")</f>
        <v>South</v>
      </c>
      <c r="L43" s="4">
        <f>IFERROR(HLOOKUP(F43,Fee_Lookup!$B$1:$E$2,2,FALSE),"Fee not found")</f>
        <v>0</v>
      </c>
      <c r="M43" s="5">
        <f t="shared" si="1"/>
        <v>46024</v>
      </c>
      <c r="N43" s="4" t="str">
        <f t="shared" si="2"/>
        <v>25|2026-01-02</v>
      </c>
      <c r="O43" s="4">
        <f>IFERROR(VLOOKUP(N43,Merchant_Daily!$A:$B,2,FALSE),0)</f>
        <v>99</v>
      </c>
      <c r="P43" s="4" t="str">
        <f t="shared" si="3"/>
        <v>Standard Merchant Day</v>
      </c>
    </row>
    <row r="44">
      <c r="A44" s="1" t="s">
        <v>614</v>
      </c>
      <c r="B44" s="1">
        <v>295.0</v>
      </c>
      <c r="C44" s="1">
        <v>25.0</v>
      </c>
      <c r="D44" s="3">
        <v>46041.91736111111</v>
      </c>
      <c r="E44" s="1">
        <v>1499.0</v>
      </c>
      <c r="F44" s="1" t="s">
        <v>35</v>
      </c>
      <c r="G44" s="1" t="s">
        <v>27</v>
      </c>
      <c r="H44" s="1">
        <v>61.0</v>
      </c>
      <c r="I44" s="4" t="str">
        <f>IFERROR(VLOOKUP(C44,Merchants!$A$2:$D$41,2,FALSE),"Merchant not found")</f>
        <v>Merchant_025</v>
      </c>
      <c r="J44" s="4" t="str">
        <f>IFERROR(VLOOKUP(C44,Merchants!$A$2:$D$41,3,FALSE),"Merchant not found")</f>
        <v>travel</v>
      </c>
      <c r="K44" s="4" t="str">
        <f>IFERROR(VLOOKUP(C44,Merchants!$A$2:$D$41,4,FALSE),"Merchant not found")</f>
        <v>South</v>
      </c>
      <c r="L44" s="4">
        <f>IFERROR(HLOOKUP(F44,Fee_Lookup!$B$1:$E$2,2,FALSE),"Fee not found")</f>
        <v>0</v>
      </c>
      <c r="M44" s="5">
        <f t="shared" si="1"/>
        <v>46041</v>
      </c>
      <c r="N44" s="4" t="str">
        <f t="shared" si="2"/>
        <v>25|2026-01-19</v>
      </c>
      <c r="O44" s="4">
        <f>IFERROR(VLOOKUP(N44,Merchant_Daily!$A:$B,2,FALSE),0)</f>
        <v>4498</v>
      </c>
      <c r="P44" s="4" t="str">
        <f t="shared" si="3"/>
        <v>Standard Merchant Day</v>
      </c>
    </row>
    <row r="45">
      <c r="A45" s="1" t="s">
        <v>615</v>
      </c>
      <c r="B45" s="1">
        <v>200.0</v>
      </c>
      <c r="C45" s="1">
        <v>27.0</v>
      </c>
      <c r="D45" s="3">
        <v>46023.47152777778</v>
      </c>
      <c r="E45" s="1">
        <v>149.0</v>
      </c>
      <c r="F45" s="1" t="s">
        <v>35</v>
      </c>
      <c r="G45" s="1" t="s">
        <v>27</v>
      </c>
      <c r="H45" s="1">
        <v>68.0</v>
      </c>
      <c r="I45" s="4" t="str">
        <f>IFERROR(VLOOKUP(C45,Merchants!$A$2:$D$41,2,FALSE),"Merchant not found")</f>
        <v>Merchant_027</v>
      </c>
      <c r="J45" s="4" t="str">
        <f>IFERROR(VLOOKUP(C45,Merchants!$A$2:$D$41,3,FALSE),"Merchant not found")</f>
        <v>ecommerce</v>
      </c>
      <c r="K45" s="4" t="str">
        <f>IFERROR(VLOOKUP(C45,Merchants!$A$2:$D$41,4,FALSE),"Merchant not found")</f>
        <v>North</v>
      </c>
      <c r="L45" s="4">
        <f>IFERROR(HLOOKUP(F45,Fee_Lookup!$B$1:$E$2,2,FALSE),"Fee not found")</f>
        <v>0</v>
      </c>
      <c r="M45" s="5">
        <f t="shared" si="1"/>
        <v>46023</v>
      </c>
      <c r="N45" s="4" t="str">
        <f t="shared" si="2"/>
        <v>27|2026-01-01</v>
      </c>
      <c r="O45" s="4">
        <f>IFERROR(VLOOKUP(N45,Merchant_Daily!$A:$B,2,FALSE),0)</f>
        <v>149</v>
      </c>
      <c r="P45" s="4" t="str">
        <f t="shared" si="3"/>
        <v>Standard Merchant Day</v>
      </c>
    </row>
    <row r="46">
      <c r="A46" s="1" t="s">
        <v>616</v>
      </c>
      <c r="B46" s="1">
        <v>309.0</v>
      </c>
      <c r="C46" s="1">
        <v>15.0</v>
      </c>
      <c r="D46" s="3">
        <v>46046.981944444444</v>
      </c>
      <c r="E46" s="1">
        <v>99.0</v>
      </c>
      <c r="F46" s="1" t="s">
        <v>47</v>
      </c>
      <c r="G46" s="1" t="s">
        <v>27</v>
      </c>
      <c r="H46" s="1">
        <v>62.0</v>
      </c>
      <c r="I46" s="4" t="str">
        <f>IFERROR(VLOOKUP(C46,Merchants!$A$2:$D$41,2,FALSE),"Merchant not found")</f>
        <v>Merchant_015</v>
      </c>
      <c r="J46" s="4" t="str">
        <f>IFERROR(VLOOKUP(C46,Merchants!$A$2:$D$41,3,FALSE),"Merchant not found")</f>
        <v>travel</v>
      </c>
      <c r="K46" s="4" t="str">
        <f>IFERROR(VLOOKUP(C46,Merchants!$A$2:$D$41,4,FALSE),"Merchant not found")</f>
        <v>North</v>
      </c>
      <c r="L46" s="4">
        <f>IFERROR(HLOOKUP(F46,Fee_Lookup!$B$1:$E$2,2,FALSE),"Fee not found")</f>
        <v>0.015</v>
      </c>
      <c r="M46" s="5">
        <f t="shared" si="1"/>
        <v>46046</v>
      </c>
      <c r="N46" s="4" t="str">
        <f t="shared" si="2"/>
        <v>15|2026-01-24</v>
      </c>
      <c r="O46" s="4">
        <f>IFERROR(VLOOKUP(N46,Merchant_Daily!$A:$B,2,FALSE),0)</f>
        <v>148</v>
      </c>
      <c r="P46" s="4" t="str">
        <f t="shared" si="3"/>
        <v>Standard Merchant Day</v>
      </c>
    </row>
    <row r="47">
      <c r="A47" s="1" t="s">
        <v>617</v>
      </c>
      <c r="B47" s="1">
        <v>249.0</v>
      </c>
      <c r="C47" s="1">
        <v>2.0</v>
      </c>
      <c r="D47" s="3">
        <v>46030.35208333333</v>
      </c>
      <c r="E47" s="1">
        <v>299.0</v>
      </c>
      <c r="F47" s="1" t="s">
        <v>26</v>
      </c>
      <c r="G47" s="1" t="s">
        <v>27</v>
      </c>
      <c r="H47" s="1">
        <v>49.0</v>
      </c>
      <c r="I47" s="4" t="str">
        <f>IFERROR(VLOOKUP(C47,Merchants!$A$2:$D$41,2,FALSE),"Merchant not found")</f>
        <v>Merchant_002</v>
      </c>
      <c r="J47" s="4" t="str">
        <f>IFERROR(VLOOKUP(C47,Merchants!$A$2:$D$41,3,FALSE),"Merchant not found")</f>
        <v>grocery</v>
      </c>
      <c r="K47" s="4" t="str">
        <f>IFERROR(VLOOKUP(C47,Merchants!$A$2:$D$41,4,FALSE),"Merchant not found")</f>
        <v>West</v>
      </c>
      <c r="L47" s="4">
        <f>IFERROR(HLOOKUP(F47,Fee_Lookup!$B$1:$E$2,2,FALSE),"Fee not found")</f>
        <v>0.005</v>
      </c>
      <c r="M47" s="5">
        <f t="shared" si="1"/>
        <v>46030</v>
      </c>
      <c r="N47" s="4" t="str">
        <f t="shared" si="2"/>
        <v>2|2026-01-08</v>
      </c>
      <c r="O47" s="4">
        <f>IFERROR(VLOOKUP(N47,Merchant_Daily!$A:$B,2,FALSE),0)</f>
        <v>299</v>
      </c>
      <c r="P47" s="4" t="str">
        <f t="shared" si="3"/>
        <v>Standard Merchant Day</v>
      </c>
    </row>
    <row r="48">
      <c r="A48" s="1" t="s">
        <v>618</v>
      </c>
      <c r="B48" s="1">
        <v>208.0</v>
      </c>
      <c r="C48" s="1">
        <v>11.0</v>
      </c>
      <c r="D48" s="3">
        <v>46033.904861111114</v>
      </c>
      <c r="E48" s="1">
        <v>4999.0</v>
      </c>
      <c r="F48" s="1" t="s">
        <v>47</v>
      </c>
      <c r="G48" s="1" t="s">
        <v>27</v>
      </c>
      <c r="H48" s="1">
        <v>59.0</v>
      </c>
      <c r="I48" s="4" t="str">
        <f>IFERROR(VLOOKUP(C48,Merchants!$A$2:$D$41,2,FALSE),"Merchant not found")</f>
        <v>Merchant_011</v>
      </c>
      <c r="J48" s="4" t="str">
        <f>IFERROR(VLOOKUP(C48,Merchants!$A$2:$D$41,3,FALSE),"Merchant not found")</f>
        <v>ecommerce</v>
      </c>
      <c r="K48" s="4" t="str">
        <f>IFERROR(VLOOKUP(C48,Merchants!$A$2:$D$41,4,FALSE),"Merchant not found")</f>
        <v>North</v>
      </c>
      <c r="L48" s="4">
        <f>IFERROR(HLOOKUP(F48,Fee_Lookup!$B$1:$E$2,2,FALSE),"Fee not found")</f>
        <v>0.015</v>
      </c>
      <c r="M48" s="5">
        <f t="shared" si="1"/>
        <v>46033</v>
      </c>
      <c r="N48" s="4" t="str">
        <f t="shared" si="2"/>
        <v>11|2026-01-11</v>
      </c>
      <c r="O48" s="4">
        <f>IFERROR(VLOOKUP(N48,Merchant_Daily!$A:$B,2,FALSE),0)</f>
        <v>4999</v>
      </c>
      <c r="P48" s="4" t="str">
        <f t="shared" si="3"/>
        <v>Standard Merchant Day</v>
      </c>
    </row>
    <row r="49">
      <c r="A49" s="1" t="s">
        <v>619</v>
      </c>
      <c r="B49" s="1">
        <v>274.0</v>
      </c>
      <c r="C49" s="1">
        <v>2.0</v>
      </c>
      <c r="D49" s="3">
        <v>46052.19375</v>
      </c>
      <c r="E49" s="1">
        <v>299.0</v>
      </c>
      <c r="F49" s="1" t="s">
        <v>35</v>
      </c>
      <c r="G49" s="1" t="s">
        <v>27</v>
      </c>
      <c r="H49" s="1">
        <v>50.0</v>
      </c>
      <c r="I49" s="4" t="str">
        <f>IFERROR(VLOOKUP(C49,Merchants!$A$2:$D$41,2,FALSE),"Merchant not found")</f>
        <v>Merchant_002</v>
      </c>
      <c r="J49" s="4" t="str">
        <f>IFERROR(VLOOKUP(C49,Merchants!$A$2:$D$41,3,FALSE),"Merchant not found")</f>
        <v>grocery</v>
      </c>
      <c r="K49" s="4" t="str">
        <f>IFERROR(VLOOKUP(C49,Merchants!$A$2:$D$41,4,FALSE),"Merchant not found")</f>
        <v>West</v>
      </c>
      <c r="L49" s="4">
        <f>IFERROR(HLOOKUP(F49,Fee_Lookup!$B$1:$E$2,2,FALSE),"Fee not found")</f>
        <v>0</v>
      </c>
      <c r="M49" s="5">
        <f t="shared" si="1"/>
        <v>46052</v>
      </c>
      <c r="N49" s="4" t="str">
        <f t="shared" si="2"/>
        <v>2|2026-01-30</v>
      </c>
      <c r="O49" s="4">
        <f>IFERROR(VLOOKUP(N49,Merchant_Daily!$A:$B,2,FALSE),0)</f>
        <v>299</v>
      </c>
      <c r="P49" s="4" t="str">
        <f t="shared" si="3"/>
        <v>Standard Merchant Day</v>
      </c>
    </row>
    <row r="50">
      <c r="A50" s="1" t="s">
        <v>620</v>
      </c>
      <c r="B50" s="1">
        <v>14.0</v>
      </c>
      <c r="C50" s="1">
        <v>6.0</v>
      </c>
      <c r="D50" s="3">
        <v>46041.77916666667</v>
      </c>
      <c r="E50" s="1">
        <v>49.0</v>
      </c>
      <c r="F50" s="1" t="s">
        <v>26</v>
      </c>
      <c r="G50" s="1" t="s">
        <v>27</v>
      </c>
      <c r="H50" s="1">
        <v>82.0</v>
      </c>
      <c r="I50" s="4" t="str">
        <f>IFERROR(VLOOKUP(C50,Merchants!$A$2:$D$41,2,FALSE),"Merchant not found")</f>
        <v>Merchant_006</v>
      </c>
      <c r="J50" s="4" t="str">
        <f>IFERROR(VLOOKUP(C50,Merchants!$A$2:$D$41,3,FALSE),"Merchant not found")</f>
        <v>food_delivery</v>
      </c>
      <c r="K50" s="4" t="str">
        <f>IFERROR(VLOOKUP(C50,Merchants!$A$2:$D$41,4,FALSE),"Merchant not found")</f>
        <v>South</v>
      </c>
      <c r="L50" s="4">
        <f>IFERROR(HLOOKUP(F50,Fee_Lookup!$B$1:$E$2,2,FALSE),"Fee not found")</f>
        <v>0.005</v>
      </c>
      <c r="M50" s="5">
        <f t="shared" si="1"/>
        <v>46041</v>
      </c>
      <c r="N50" s="4" t="str">
        <f t="shared" si="2"/>
        <v>6|2026-01-19</v>
      </c>
      <c r="O50" s="4">
        <f>IFERROR(VLOOKUP(N50,Merchant_Daily!$A:$B,2,FALSE),0)</f>
        <v>49</v>
      </c>
      <c r="P50" s="4" t="str">
        <f t="shared" si="3"/>
        <v>Standard Merchant Day</v>
      </c>
    </row>
    <row r="51">
      <c r="A51" s="1" t="s">
        <v>621</v>
      </c>
      <c r="B51" s="1">
        <v>237.0</v>
      </c>
      <c r="C51" s="1">
        <v>12.0</v>
      </c>
      <c r="D51" s="3">
        <v>46036.20486111111</v>
      </c>
      <c r="E51" s="1">
        <v>49.0</v>
      </c>
      <c r="F51" s="1" t="s">
        <v>35</v>
      </c>
      <c r="G51" s="1" t="s">
        <v>27</v>
      </c>
      <c r="H51" s="1">
        <v>6.0</v>
      </c>
      <c r="I51" s="4" t="str">
        <f>IFERROR(VLOOKUP(C51,Merchants!$A$2:$D$41,2,FALSE),"Merchant not found")</f>
        <v>Merchant_012</v>
      </c>
      <c r="J51" s="4" t="str">
        <f>IFERROR(VLOOKUP(C51,Merchants!$A$2:$D$41,3,FALSE),"Merchant not found")</f>
        <v>ecommerce</v>
      </c>
      <c r="K51" s="4" t="str">
        <f>IFERROR(VLOOKUP(C51,Merchants!$A$2:$D$41,4,FALSE),"Merchant not found")</f>
        <v>East</v>
      </c>
      <c r="L51" s="4">
        <f>IFERROR(HLOOKUP(F51,Fee_Lookup!$B$1:$E$2,2,FALSE),"Fee not found")</f>
        <v>0</v>
      </c>
      <c r="M51" s="5">
        <f t="shared" si="1"/>
        <v>46036</v>
      </c>
      <c r="N51" s="4" t="str">
        <f t="shared" si="2"/>
        <v>12|2026-01-14</v>
      </c>
      <c r="O51" s="4">
        <f>IFERROR(VLOOKUP(N51,Merchant_Daily!$A:$B,2,FALSE),0)</f>
        <v>548</v>
      </c>
      <c r="P51" s="4" t="str">
        <f t="shared" si="3"/>
        <v>Standard Merchant Day</v>
      </c>
    </row>
    <row r="52">
      <c r="A52" s="1" t="s">
        <v>622</v>
      </c>
      <c r="B52" s="1">
        <v>109.0</v>
      </c>
      <c r="C52" s="1">
        <v>30.0</v>
      </c>
      <c r="D52" s="3">
        <v>46031.51388888889</v>
      </c>
      <c r="E52" s="1">
        <v>99.0</v>
      </c>
      <c r="F52" s="1" t="s">
        <v>35</v>
      </c>
      <c r="G52" s="1" t="s">
        <v>27</v>
      </c>
      <c r="H52" s="1">
        <v>41.0</v>
      </c>
      <c r="I52" s="4" t="str">
        <f>IFERROR(VLOOKUP(C52,Merchants!$A$2:$D$41,2,FALSE),"Merchant not found")</f>
        <v>Merchant_030</v>
      </c>
      <c r="J52" s="4" t="str">
        <f>IFERROR(VLOOKUP(C52,Merchants!$A$2:$D$41,3,FALSE),"Merchant not found")</f>
        <v>travel</v>
      </c>
      <c r="K52" s="4" t="str">
        <f>IFERROR(VLOOKUP(C52,Merchants!$A$2:$D$41,4,FALSE),"Merchant not found")</f>
        <v>West</v>
      </c>
      <c r="L52" s="4">
        <f>IFERROR(HLOOKUP(F52,Fee_Lookup!$B$1:$E$2,2,FALSE),"Fee not found")</f>
        <v>0</v>
      </c>
      <c r="M52" s="5">
        <f t="shared" si="1"/>
        <v>46031</v>
      </c>
      <c r="N52" s="4" t="str">
        <f t="shared" si="2"/>
        <v>30|2026-01-09</v>
      </c>
      <c r="O52" s="4">
        <f>IFERROR(VLOOKUP(N52,Merchant_Daily!$A:$B,2,FALSE),0)</f>
        <v>99</v>
      </c>
      <c r="P52" s="4" t="str">
        <f t="shared" si="3"/>
        <v>Standard Merchant Day</v>
      </c>
    </row>
    <row r="53">
      <c r="A53" s="1" t="s">
        <v>623</v>
      </c>
      <c r="B53" s="1">
        <v>216.0</v>
      </c>
      <c r="C53" s="1">
        <v>17.0</v>
      </c>
      <c r="D53" s="3">
        <v>46033.51180555556</v>
      </c>
      <c r="E53" s="1">
        <v>4999.0</v>
      </c>
      <c r="F53" s="1" t="s">
        <v>35</v>
      </c>
      <c r="G53" s="1" t="s">
        <v>27</v>
      </c>
      <c r="H53" s="1">
        <v>10.0</v>
      </c>
      <c r="I53" s="4" t="str">
        <f>IFERROR(VLOOKUP(C53,Merchants!$A$2:$D$41,2,FALSE),"Merchant not found")</f>
        <v>Merchant_017</v>
      </c>
      <c r="J53" s="4" t="str">
        <f>IFERROR(VLOOKUP(C53,Merchants!$A$2:$D$41,3,FALSE),"Merchant not found")</f>
        <v>grocery</v>
      </c>
      <c r="K53" s="4" t="str">
        <f>IFERROR(VLOOKUP(C53,Merchants!$A$2:$D$41,4,FALSE),"Merchant not found")</f>
        <v>North</v>
      </c>
      <c r="L53" s="4">
        <f>IFERROR(HLOOKUP(F53,Fee_Lookup!$B$1:$E$2,2,FALSE),"Fee not found")</f>
        <v>0</v>
      </c>
      <c r="M53" s="5">
        <f t="shared" si="1"/>
        <v>46033</v>
      </c>
      <c r="N53" s="4" t="str">
        <f t="shared" si="2"/>
        <v>17|2026-01-11</v>
      </c>
      <c r="O53" s="4">
        <f>IFERROR(VLOOKUP(N53,Merchant_Daily!$A:$B,2,FALSE),0)</f>
        <v>7998</v>
      </c>
      <c r="P53" s="4" t="str">
        <f t="shared" si="3"/>
        <v>High-Value Merchant Day</v>
      </c>
    </row>
    <row r="54">
      <c r="A54" s="1" t="s">
        <v>624</v>
      </c>
      <c r="B54" s="1">
        <v>277.0</v>
      </c>
      <c r="C54" s="1">
        <v>4.0</v>
      </c>
      <c r="D54" s="3">
        <v>46038.032638888886</v>
      </c>
      <c r="E54" s="1">
        <v>799.0</v>
      </c>
      <c r="F54" s="1" t="s">
        <v>35</v>
      </c>
      <c r="G54" s="1" t="s">
        <v>27</v>
      </c>
      <c r="H54" s="1">
        <v>44.0</v>
      </c>
      <c r="I54" s="4" t="str">
        <f>IFERROR(VLOOKUP(C54,Merchants!$A$2:$D$41,2,FALSE),"Merchant not found")</f>
        <v>Merchant_004</v>
      </c>
      <c r="J54" s="4" t="str">
        <f>IFERROR(VLOOKUP(C54,Merchants!$A$2:$D$41,3,FALSE),"Merchant not found")</f>
        <v>ecommerce</v>
      </c>
      <c r="K54" s="4" t="str">
        <f>IFERROR(VLOOKUP(C54,Merchants!$A$2:$D$41,4,FALSE),"Merchant not found")</f>
        <v>East</v>
      </c>
      <c r="L54" s="4">
        <f>IFERROR(HLOOKUP(F54,Fee_Lookup!$B$1:$E$2,2,FALSE),"Fee not found")</f>
        <v>0</v>
      </c>
      <c r="M54" s="5">
        <f t="shared" si="1"/>
        <v>46038</v>
      </c>
      <c r="N54" s="4" t="str">
        <f t="shared" si="2"/>
        <v>4|2026-01-16</v>
      </c>
      <c r="O54" s="4">
        <f>IFERROR(VLOOKUP(N54,Merchant_Daily!$A:$B,2,FALSE),0)</f>
        <v>799</v>
      </c>
      <c r="P54" s="4" t="str">
        <f t="shared" si="3"/>
        <v>Standard Merchant Day</v>
      </c>
    </row>
    <row r="55">
      <c r="A55" s="1" t="s">
        <v>625</v>
      </c>
      <c r="B55" s="1">
        <v>334.0</v>
      </c>
      <c r="C55" s="1">
        <v>3.0</v>
      </c>
      <c r="D55" s="3">
        <v>46030.83611111111</v>
      </c>
      <c r="E55" s="1">
        <v>149.0</v>
      </c>
      <c r="F55" s="1" t="s">
        <v>26</v>
      </c>
      <c r="G55" s="1" t="s">
        <v>27</v>
      </c>
      <c r="H55" s="1">
        <v>96.0</v>
      </c>
      <c r="I55" s="4" t="str">
        <f>IFERROR(VLOOKUP(C55,Merchants!$A$2:$D$41,2,FALSE),"Merchant not found")</f>
        <v>Merchant_003</v>
      </c>
      <c r="J55" s="4" t="str">
        <f>IFERROR(VLOOKUP(C55,Merchants!$A$2:$D$41,3,FALSE),"Merchant not found")</f>
        <v>grocery</v>
      </c>
      <c r="K55" s="4" t="str">
        <f>IFERROR(VLOOKUP(C55,Merchants!$A$2:$D$41,4,FALSE),"Merchant not found")</f>
        <v>East</v>
      </c>
      <c r="L55" s="4">
        <f>IFERROR(HLOOKUP(F55,Fee_Lookup!$B$1:$E$2,2,FALSE),"Fee not found")</f>
        <v>0.005</v>
      </c>
      <c r="M55" s="5">
        <f t="shared" si="1"/>
        <v>46030</v>
      </c>
      <c r="N55" s="4" t="str">
        <f t="shared" si="2"/>
        <v>3|2026-01-08</v>
      </c>
      <c r="O55" s="4">
        <f>IFERROR(VLOOKUP(N55,Merchant_Daily!$A:$B,2,FALSE),0)</f>
        <v>149</v>
      </c>
      <c r="P55" s="4" t="str">
        <f t="shared" si="3"/>
        <v>Standard Merchant Day</v>
      </c>
    </row>
    <row r="56">
      <c r="A56" s="1" t="s">
        <v>626</v>
      </c>
      <c r="B56" s="1">
        <v>11.0</v>
      </c>
      <c r="C56" s="1">
        <v>40.0</v>
      </c>
      <c r="D56" s="3">
        <v>46023.3</v>
      </c>
      <c r="E56" s="1">
        <v>299.0</v>
      </c>
      <c r="F56" s="1" t="s">
        <v>35</v>
      </c>
      <c r="G56" s="1" t="s">
        <v>27</v>
      </c>
      <c r="H56" s="1">
        <v>19.0</v>
      </c>
      <c r="I56" s="4" t="str">
        <f>IFERROR(VLOOKUP(C56,Merchants!$A$2:$D$41,2,FALSE),"Merchant not found")</f>
        <v>Merchant_040</v>
      </c>
      <c r="J56" s="4" t="str">
        <f>IFERROR(VLOOKUP(C56,Merchants!$A$2:$D$41,3,FALSE),"Merchant not found")</f>
        <v>entertainment</v>
      </c>
      <c r="K56" s="4" t="str">
        <f>IFERROR(VLOOKUP(C56,Merchants!$A$2:$D$41,4,FALSE),"Merchant not found")</f>
        <v>South</v>
      </c>
      <c r="L56" s="4">
        <f>IFERROR(HLOOKUP(F56,Fee_Lookup!$B$1:$E$2,2,FALSE),"Fee not found")</f>
        <v>0</v>
      </c>
      <c r="M56" s="5">
        <f t="shared" si="1"/>
        <v>46023</v>
      </c>
      <c r="N56" s="4" t="str">
        <f t="shared" si="2"/>
        <v>40|2026-01-01</v>
      </c>
      <c r="O56" s="4">
        <f>IFERROR(VLOOKUP(N56,Merchant_Daily!$A:$B,2,FALSE),0)</f>
        <v>299</v>
      </c>
      <c r="P56" s="4" t="str">
        <f t="shared" si="3"/>
        <v>Standard Merchant Day</v>
      </c>
    </row>
    <row r="57">
      <c r="A57" s="1" t="s">
        <v>627</v>
      </c>
      <c r="B57" s="1">
        <v>343.0</v>
      </c>
      <c r="C57" s="1">
        <v>8.0</v>
      </c>
      <c r="D57" s="3">
        <v>46030.1875</v>
      </c>
      <c r="E57" s="1">
        <v>99.0</v>
      </c>
      <c r="F57" s="1" t="s">
        <v>35</v>
      </c>
      <c r="G57" s="1" t="s">
        <v>27</v>
      </c>
      <c r="H57" s="1">
        <v>72.0</v>
      </c>
      <c r="I57" s="4" t="str">
        <f>IFERROR(VLOOKUP(C57,Merchants!$A$2:$D$41,2,FALSE),"Merchant not found")</f>
        <v>Merchant_008</v>
      </c>
      <c r="J57" s="4" t="str">
        <f>IFERROR(VLOOKUP(C57,Merchants!$A$2:$D$41,3,FALSE),"Merchant not found")</f>
        <v>food_delivery</v>
      </c>
      <c r="K57" s="4" t="str">
        <f>IFERROR(VLOOKUP(C57,Merchants!$A$2:$D$41,4,FALSE),"Merchant not found")</f>
        <v>North</v>
      </c>
      <c r="L57" s="4">
        <f>IFERROR(HLOOKUP(F57,Fee_Lookup!$B$1:$E$2,2,FALSE),"Fee not found")</f>
        <v>0</v>
      </c>
      <c r="M57" s="5">
        <f t="shared" si="1"/>
        <v>46030</v>
      </c>
      <c r="N57" s="4" t="str">
        <f t="shared" si="2"/>
        <v>8|2026-01-08</v>
      </c>
      <c r="O57" s="4">
        <f>IFERROR(VLOOKUP(N57,Merchant_Daily!$A:$B,2,FALSE),0)</f>
        <v>99</v>
      </c>
      <c r="P57" s="4" t="str">
        <f t="shared" si="3"/>
        <v>Standard Merchant Day</v>
      </c>
    </row>
    <row r="58">
      <c r="A58" s="1" t="s">
        <v>628</v>
      </c>
      <c r="B58" s="1">
        <v>132.0</v>
      </c>
      <c r="C58" s="1">
        <v>24.0</v>
      </c>
      <c r="D58" s="3">
        <v>46029.61388888889</v>
      </c>
      <c r="E58" s="1">
        <v>299.0</v>
      </c>
      <c r="F58" s="1" t="s">
        <v>26</v>
      </c>
      <c r="G58" s="1" t="s">
        <v>27</v>
      </c>
      <c r="H58" s="1">
        <v>21.0</v>
      </c>
      <c r="I58" s="4" t="str">
        <f>IFERROR(VLOOKUP(C58,Merchants!$A$2:$D$41,2,FALSE),"Merchant not found")</f>
        <v>Merchant_024</v>
      </c>
      <c r="J58" s="4" t="str">
        <f>IFERROR(VLOOKUP(C58,Merchants!$A$2:$D$41,3,FALSE),"Merchant not found")</f>
        <v>grocery</v>
      </c>
      <c r="K58" s="4" t="str">
        <f>IFERROR(VLOOKUP(C58,Merchants!$A$2:$D$41,4,FALSE),"Merchant not found")</f>
        <v>North</v>
      </c>
      <c r="L58" s="4">
        <f>IFERROR(HLOOKUP(F58,Fee_Lookup!$B$1:$E$2,2,FALSE),"Fee not found")</f>
        <v>0.005</v>
      </c>
      <c r="M58" s="5">
        <f t="shared" si="1"/>
        <v>46029</v>
      </c>
      <c r="N58" s="4" t="str">
        <f t="shared" si="2"/>
        <v>24|2026-01-07</v>
      </c>
      <c r="O58" s="4">
        <f>IFERROR(VLOOKUP(N58,Merchant_Daily!$A:$B,2,FALSE),0)</f>
        <v>299</v>
      </c>
      <c r="P58" s="4" t="str">
        <f t="shared" si="3"/>
        <v>Standard Merchant Day</v>
      </c>
    </row>
    <row r="59">
      <c r="A59" s="1" t="s">
        <v>629</v>
      </c>
      <c r="B59" s="1">
        <v>59.0</v>
      </c>
      <c r="C59" s="1">
        <v>11.0</v>
      </c>
      <c r="D59" s="3">
        <v>46042.82430555556</v>
      </c>
      <c r="E59" s="1">
        <v>299.0</v>
      </c>
      <c r="F59" s="1" t="s">
        <v>35</v>
      </c>
      <c r="G59" s="1" t="s">
        <v>27</v>
      </c>
      <c r="H59" s="1">
        <v>39.0</v>
      </c>
      <c r="I59" s="4" t="str">
        <f>IFERROR(VLOOKUP(C59,Merchants!$A$2:$D$41,2,FALSE),"Merchant not found")</f>
        <v>Merchant_011</v>
      </c>
      <c r="J59" s="4" t="str">
        <f>IFERROR(VLOOKUP(C59,Merchants!$A$2:$D$41,3,FALSE),"Merchant not found")</f>
        <v>ecommerce</v>
      </c>
      <c r="K59" s="4" t="str">
        <f>IFERROR(VLOOKUP(C59,Merchants!$A$2:$D$41,4,FALSE),"Merchant not found")</f>
        <v>North</v>
      </c>
      <c r="L59" s="4">
        <f>IFERROR(HLOOKUP(F59,Fee_Lookup!$B$1:$E$2,2,FALSE),"Fee not found")</f>
        <v>0</v>
      </c>
      <c r="M59" s="5">
        <f t="shared" si="1"/>
        <v>46042</v>
      </c>
      <c r="N59" s="4" t="str">
        <f t="shared" si="2"/>
        <v>11|2026-01-20</v>
      </c>
      <c r="O59" s="4">
        <f>IFERROR(VLOOKUP(N59,Merchant_Daily!$A:$B,2,FALSE),0)</f>
        <v>299</v>
      </c>
      <c r="P59" s="4" t="str">
        <f t="shared" si="3"/>
        <v>Standard Merchant Day</v>
      </c>
    </row>
    <row r="60">
      <c r="A60" s="1" t="s">
        <v>630</v>
      </c>
      <c r="B60" s="1">
        <v>160.0</v>
      </c>
      <c r="C60" s="1">
        <v>37.0</v>
      </c>
      <c r="D60" s="3">
        <v>46026.75069444445</v>
      </c>
      <c r="E60" s="1">
        <v>49.0</v>
      </c>
      <c r="F60" s="1" t="s">
        <v>26</v>
      </c>
      <c r="G60" s="1" t="s">
        <v>27</v>
      </c>
      <c r="H60" s="1">
        <v>86.0</v>
      </c>
      <c r="I60" s="4" t="str">
        <f>IFERROR(VLOOKUP(C60,Merchants!$A$2:$D$41,2,FALSE),"Merchant not found")</f>
        <v>Merchant_037</v>
      </c>
      <c r="J60" s="4" t="str">
        <f>IFERROR(VLOOKUP(C60,Merchants!$A$2:$D$41,3,FALSE),"Merchant not found")</f>
        <v>entertainment</v>
      </c>
      <c r="K60" s="4" t="str">
        <f>IFERROR(VLOOKUP(C60,Merchants!$A$2:$D$41,4,FALSE),"Merchant not found")</f>
        <v>South</v>
      </c>
      <c r="L60" s="4">
        <f>IFERROR(HLOOKUP(F60,Fee_Lookup!$B$1:$E$2,2,FALSE),"Fee not found")</f>
        <v>0.005</v>
      </c>
      <c r="M60" s="5">
        <f t="shared" si="1"/>
        <v>46026</v>
      </c>
      <c r="N60" s="4" t="str">
        <f t="shared" si="2"/>
        <v>37|2026-01-04</v>
      </c>
      <c r="O60" s="4">
        <f>IFERROR(VLOOKUP(N60,Merchant_Daily!$A:$B,2,FALSE),0)</f>
        <v>49</v>
      </c>
      <c r="P60" s="4" t="str">
        <f t="shared" si="3"/>
        <v>Standard Merchant Day</v>
      </c>
    </row>
    <row r="61">
      <c r="A61" s="1" t="s">
        <v>631</v>
      </c>
      <c r="B61" s="1">
        <v>102.0</v>
      </c>
      <c r="C61" s="1">
        <v>5.0</v>
      </c>
      <c r="D61" s="3">
        <v>46052.51736111111</v>
      </c>
      <c r="E61" s="1">
        <v>2999.0</v>
      </c>
      <c r="F61" s="1" t="s">
        <v>35</v>
      </c>
      <c r="G61" s="1" t="s">
        <v>27</v>
      </c>
      <c r="H61" s="1">
        <v>75.0</v>
      </c>
      <c r="I61" s="4" t="str">
        <f>IFERROR(VLOOKUP(C61,Merchants!$A$2:$D$41,2,FALSE),"Merchant not found")</f>
        <v>Merchant_005</v>
      </c>
      <c r="J61" s="4" t="str">
        <f>IFERROR(VLOOKUP(C61,Merchants!$A$2:$D$41,3,FALSE),"Merchant not found")</f>
        <v>recharge</v>
      </c>
      <c r="K61" s="4" t="str">
        <f>IFERROR(VLOOKUP(C61,Merchants!$A$2:$D$41,4,FALSE),"Merchant not found")</f>
        <v>South</v>
      </c>
      <c r="L61" s="4">
        <f>IFERROR(HLOOKUP(F61,Fee_Lookup!$B$1:$E$2,2,FALSE),"Fee not found")</f>
        <v>0</v>
      </c>
      <c r="M61" s="5">
        <f t="shared" si="1"/>
        <v>46052</v>
      </c>
      <c r="N61" s="4" t="str">
        <f t="shared" si="2"/>
        <v>5|2026-01-30</v>
      </c>
      <c r="O61" s="4">
        <f>IFERROR(VLOOKUP(N61,Merchant_Daily!$A:$B,2,FALSE),0)</f>
        <v>2999</v>
      </c>
      <c r="P61" s="4" t="str">
        <f t="shared" si="3"/>
        <v>Standard Merchant Day</v>
      </c>
    </row>
    <row r="62">
      <c r="A62" s="1" t="s">
        <v>632</v>
      </c>
      <c r="B62" s="1">
        <v>53.0</v>
      </c>
      <c r="C62" s="1">
        <v>20.0</v>
      </c>
      <c r="D62" s="3">
        <v>46045.84375</v>
      </c>
      <c r="E62" s="1">
        <v>49.0</v>
      </c>
      <c r="F62" s="1" t="s">
        <v>47</v>
      </c>
      <c r="G62" s="1" t="s">
        <v>27</v>
      </c>
      <c r="H62" s="1">
        <v>87.0</v>
      </c>
      <c r="I62" s="4" t="str">
        <f>IFERROR(VLOOKUP(C62,Merchants!$A$2:$D$41,2,FALSE),"Merchant not found")</f>
        <v>Merchant_020</v>
      </c>
      <c r="J62" s="4" t="str">
        <f>IFERROR(VLOOKUP(C62,Merchants!$A$2:$D$41,3,FALSE),"Merchant not found")</f>
        <v>food_delivery</v>
      </c>
      <c r="K62" s="4" t="str">
        <f>IFERROR(VLOOKUP(C62,Merchants!$A$2:$D$41,4,FALSE),"Merchant not found")</f>
        <v>East</v>
      </c>
      <c r="L62" s="4">
        <f>IFERROR(HLOOKUP(F62,Fee_Lookup!$B$1:$E$2,2,FALSE),"Fee not found")</f>
        <v>0.015</v>
      </c>
      <c r="M62" s="5">
        <f t="shared" si="1"/>
        <v>46045</v>
      </c>
      <c r="N62" s="4" t="str">
        <f t="shared" si="2"/>
        <v>20|2026-01-23</v>
      </c>
      <c r="O62" s="4">
        <f>IFERROR(VLOOKUP(N62,Merchant_Daily!$A:$B,2,FALSE),0)</f>
        <v>49</v>
      </c>
      <c r="P62" s="4" t="str">
        <f t="shared" si="3"/>
        <v>Standard Merchant Day</v>
      </c>
    </row>
    <row r="63">
      <c r="A63" s="1" t="s">
        <v>633</v>
      </c>
      <c r="B63" s="1">
        <v>290.0</v>
      </c>
      <c r="C63" s="1">
        <v>3.0</v>
      </c>
      <c r="D63" s="3">
        <v>46042.15972222222</v>
      </c>
      <c r="E63" s="1">
        <v>99.0</v>
      </c>
      <c r="F63" s="1" t="s">
        <v>26</v>
      </c>
      <c r="G63" s="1" t="s">
        <v>27</v>
      </c>
      <c r="H63" s="1">
        <v>44.0</v>
      </c>
      <c r="I63" s="4" t="str">
        <f>IFERROR(VLOOKUP(C63,Merchants!$A$2:$D$41,2,FALSE),"Merchant not found")</f>
        <v>Merchant_003</v>
      </c>
      <c r="J63" s="4" t="str">
        <f>IFERROR(VLOOKUP(C63,Merchants!$A$2:$D$41,3,FALSE),"Merchant not found")</f>
        <v>grocery</v>
      </c>
      <c r="K63" s="4" t="str">
        <f>IFERROR(VLOOKUP(C63,Merchants!$A$2:$D$41,4,FALSE),"Merchant not found")</f>
        <v>East</v>
      </c>
      <c r="L63" s="4">
        <f>IFERROR(HLOOKUP(F63,Fee_Lookup!$B$1:$E$2,2,FALSE),"Fee not found")</f>
        <v>0.005</v>
      </c>
      <c r="M63" s="5">
        <f t="shared" si="1"/>
        <v>46042</v>
      </c>
      <c r="N63" s="4" t="str">
        <f t="shared" si="2"/>
        <v>3|2026-01-20</v>
      </c>
      <c r="O63" s="4">
        <f>IFERROR(VLOOKUP(N63,Merchant_Daily!$A:$B,2,FALSE),0)</f>
        <v>99</v>
      </c>
      <c r="P63" s="4" t="str">
        <f t="shared" si="3"/>
        <v>Standard Merchant Day</v>
      </c>
    </row>
    <row r="64">
      <c r="A64" s="1" t="s">
        <v>634</v>
      </c>
      <c r="B64" s="1">
        <v>190.0</v>
      </c>
      <c r="C64" s="1">
        <v>5.0</v>
      </c>
      <c r="D64" s="3">
        <v>46040.57083333333</v>
      </c>
      <c r="E64" s="1">
        <v>299.0</v>
      </c>
      <c r="F64" s="1" t="s">
        <v>35</v>
      </c>
      <c r="G64" s="1" t="s">
        <v>27</v>
      </c>
      <c r="H64" s="1">
        <v>64.0</v>
      </c>
      <c r="I64" s="4" t="str">
        <f>IFERROR(VLOOKUP(C64,Merchants!$A$2:$D$41,2,FALSE),"Merchant not found")</f>
        <v>Merchant_005</v>
      </c>
      <c r="J64" s="4" t="str">
        <f>IFERROR(VLOOKUP(C64,Merchants!$A$2:$D$41,3,FALSE),"Merchant not found")</f>
        <v>recharge</v>
      </c>
      <c r="K64" s="4" t="str">
        <f>IFERROR(VLOOKUP(C64,Merchants!$A$2:$D$41,4,FALSE),"Merchant not found")</f>
        <v>South</v>
      </c>
      <c r="L64" s="4">
        <f>IFERROR(HLOOKUP(F64,Fee_Lookup!$B$1:$E$2,2,FALSE),"Fee not found")</f>
        <v>0</v>
      </c>
      <c r="M64" s="5">
        <f t="shared" si="1"/>
        <v>46040</v>
      </c>
      <c r="N64" s="4" t="str">
        <f t="shared" si="2"/>
        <v>5|2026-01-18</v>
      </c>
      <c r="O64" s="4">
        <f>IFERROR(VLOOKUP(N64,Merchant_Daily!$A:$B,2,FALSE),0)</f>
        <v>299</v>
      </c>
      <c r="P64" s="4" t="str">
        <f t="shared" si="3"/>
        <v>Standard Merchant Day</v>
      </c>
    </row>
    <row r="65">
      <c r="A65" s="1" t="s">
        <v>635</v>
      </c>
      <c r="B65" s="1">
        <v>216.0</v>
      </c>
      <c r="C65" s="1">
        <v>32.0</v>
      </c>
      <c r="D65" s="3">
        <v>46043.416666666664</v>
      </c>
      <c r="E65" s="1">
        <v>49.0</v>
      </c>
      <c r="F65" s="1" t="s">
        <v>46</v>
      </c>
      <c r="G65" s="1" t="s">
        <v>27</v>
      </c>
      <c r="H65" s="1">
        <v>13.0</v>
      </c>
      <c r="I65" s="4" t="str">
        <f>IFERROR(VLOOKUP(C65,Merchants!$A$2:$D$41,2,FALSE),"Merchant not found")</f>
        <v>Merchant_032</v>
      </c>
      <c r="J65" s="4" t="str">
        <f>IFERROR(VLOOKUP(C65,Merchants!$A$2:$D$41,3,FALSE),"Merchant not found")</f>
        <v>food_delivery</v>
      </c>
      <c r="K65" s="4" t="str">
        <f>IFERROR(VLOOKUP(C65,Merchants!$A$2:$D$41,4,FALSE),"Merchant not found")</f>
        <v>West</v>
      </c>
      <c r="L65" s="4">
        <f>IFERROR(HLOOKUP(F65,Fee_Lookup!$B$1:$E$2,2,FALSE),"Fee not found")</f>
        <v>0.01</v>
      </c>
      <c r="M65" s="5">
        <f t="shared" si="1"/>
        <v>46043</v>
      </c>
      <c r="N65" s="4" t="str">
        <f t="shared" si="2"/>
        <v>32|2026-01-21</v>
      </c>
      <c r="O65" s="4">
        <f>IFERROR(VLOOKUP(N65,Merchant_Daily!$A:$B,2,FALSE),0)</f>
        <v>348</v>
      </c>
      <c r="P65" s="4" t="str">
        <f t="shared" si="3"/>
        <v>Standard Merchant Day</v>
      </c>
    </row>
    <row r="66">
      <c r="A66" s="1" t="s">
        <v>636</v>
      </c>
      <c r="B66" s="1">
        <v>236.0</v>
      </c>
      <c r="C66" s="1">
        <v>10.0</v>
      </c>
      <c r="D66" s="3">
        <v>46036.48611111111</v>
      </c>
      <c r="E66" s="1">
        <v>499.0</v>
      </c>
      <c r="F66" s="1" t="s">
        <v>35</v>
      </c>
      <c r="G66" s="1" t="s">
        <v>27</v>
      </c>
      <c r="H66" s="1">
        <v>55.0</v>
      </c>
      <c r="I66" s="4" t="str">
        <f>IFERROR(VLOOKUP(C66,Merchants!$A$2:$D$41,2,FALSE),"Merchant not found")</f>
        <v>Merchant_010</v>
      </c>
      <c r="J66" s="4" t="str">
        <f>IFERROR(VLOOKUP(C66,Merchants!$A$2:$D$41,3,FALSE),"Merchant not found")</f>
        <v>grocery</v>
      </c>
      <c r="K66" s="4" t="str">
        <f>IFERROR(VLOOKUP(C66,Merchants!$A$2:$D$41,4,FALSE),"Merchant not found")</f>
        <v>West</v>
      </c>
      <c r="L66" s="4">
        <f>IFERROR(HLOOKUP(F66,Fee_Lookup!$B$1:$E$2,2,FALSE),"Fee not found")</f>
        <v>0</v>
      </c>
      <c r="M66" s="5">
        <f t="shared" si="1"/>
        <v>46036</v>
      </c>
      <c r="N66" s="4" t="str">
        <f t="shared" si="2"/>
        <v>10|2026-01-14</v>
      </c>
      <c r="O66" s="4">
        <f>IFERROR(VLOOKUP(N66,Merchant_Daily!$A:$B,2,FALSE),0)</f>
        <v>499</v>
      </c>
      <c r="P66" s="4" t="str">
        <f t="shared" si="3"/>
        <v>Standard Merchant Day</v>
      </c>
    </row>
    <row r="67">
      <c r="A67" s="1" t="s">
        <v>637</v>
      </c>
      <c r="B67" s="1">
        <v>334.0</v>
      </c>
      <c r="C67" s="1">
        <v>18.0</v>
      </c>
      <c r="D67" s="3">
        <v>46028.98125</v>
      </c>
      <c r="E67" s="1">
        <v>499.0</v>
      </c>
      <c r="F67" s="1" t="s">
        <v>46</v>
      </c>
      <c r="G67" s="1" t="s">
        <v>27</v>
      </c>
      <c r="H67" s="1">
        <v>78.0</v>
      </c>
      <c r="I67" s="4" t="str">
        <f>IFERROR(VLOOKUP(C67,Merchants!$A$2:$D$41,2,FALSE),"Merchant not found")</f>
        <v>Merchant_018</v>
      </c>
      <c r="J67" s="4" t="str">
        <f>IFERROR(VLOOKUP(C67,Merchants!$A$2:$D$41,3,FALSE),"Merchant not found")</f>
        <v>grocery</v>
      </c>
      <c r="K67" s="4" t="str">
        <f>IFERROR(VLOOKUP(C67,Merchants!$A$2:$D$41,4,FALSE),"Merchant not found")</f>
        <v>West</v>
      </c>
      <c r="L67" s="4">
        <f>IFERROR(HLOOKUP(F67,Fee_Lookup!$B$1:$E$2,2,FALSE),"Fee not found")</f>
        <v>0.01</v>
      </c>
      <c r="M67" s="5">
        <f t="shared" si="1"/>
        <v>46028</v>
      </c>
      <c r="N67" s="4" t="str">
        <f t="shared" si="2"/>
        <v>18|2026-01-06</v>
      </c>
      <c r="O67" s="4">
        <f>IFERROR(VLOOKUP(N67,Merchant_Daily!$A:$B,2,FALSE),0)</f>
        <v>499</v>
      </c>
      <c r="P67" s="4" t="str">
        <f t="shared" si="3"/>
        <v>Standard Merchant Day</v>
      </c>
    </row>
    <row r="68">
      <c r="A68" s="1" t="s">
        <v>638</v>
      </c>
      <c r="B68" s="1">
        <v>248.0</v>
      </c>
      <c r="C68" s="1">
        <v>30.0</v>
      </c>
      <c r="D68" s="3">
        <v>46048.74236111111</v>
      </c>
      <c r="E68" s="1">
        <v>799.0</v>
      </c>
      <c r="F68" s="1" t="s">
        <v>26</v>
      </c>
      <c r="G68" s="1" t="s">
        <v>27</v>
      </c>
      <c r="H68" s="1">
        <v>55.0</v>
      </c>
      <c r="I68" s="4" t="str">
        <f>IFERROR(VLOOKUP(C68,Merchants!$A$2:$D$41,2,FALSE),"Merchant not found")</f>
        <v>Merchant_030</v>
      </c>
      <c r="J68" s="4" t="str">
        <f>IFERROR(VLOOKUP(C68,Merchants!$A$2:$D$41,3,FALSE),"Merchant not found")</f>
        <v>travel</v>
      </c>
      <c r="K68" s="4" t="str">
        <f>IFERROR(VLOOKUP(C68,Merchants!$A$2:$D$41,4,FALSE),"Merchant not found")</f>
        <v>West</v>
      </c>
      <c r="L68" s="4">
        <f>IFERROR(HLOOKUP(F68,Fee_Lookup!$B$1:$E$2,2,FALSE),"Fee not found")</f>
        <v>0.005</v>
      </c>
      <c r="M68" s="5">
        <f t="shared" si="1"/>
        <v>46048</v>
      </c>
      <c r="N68" s="4" t="str">
        <f t="shared" si="2"/>
        <v>30|2026-01-26</v>
      </c>
      <c r="O68" s="4">
        <f>IFERROR(VLOOKUP(N68,Merchant_Daily!$A:$B,2,FALSE),0)</f>
        <v>799</v>
      </c>
      <c r="P68" s="4" t="str">
        <f t="shared" si="3"/>
        <v>Standard Merchant Day</v>
      </c>
    </row>
    <row r="69">
      <c r="A69" s="1" t="s">
        <v>639</v>
      </c>
      <c r="B69" s="1">
        <v>138.0</v>
      </c>
      <c r="C69" s="1">
        <v>21.0</v>
      </c>
      <c r="D69" s="3">
        <v>46049.98402777778</v>
      </c>
      <c r="E69" s="1">
        <v>49.0</v>
      </c>
      <c r="F69" s="1" t="s">
        <v>46</v>
      </c>
      <c r="G69" s="1" t="s">
        <v>27</v>
      </c>
      <c r="H69" s="1">
        <v>31.0</v>
      </c>
      <c r="I69" s="4" t="str">
        <f>IFERROR(VLOOKUP(C69,Merchants!$A$2:$D$41,2,FALSE),"Merchant not found")</f>
        <v>Merchant_021</v>
      </c>
      <c r="J69" s="4" t="str">
        <f>IFERROR(VLOOKUP(C69,Merchants!$A$2:$D$41,3,FALSE),"Merchant not found")</f>
        <v>food_delivery</v>
      </c>
      <c r="K69" s="4" t="str">
        <f>IFERROR(VLOOKUP(C69,Merchants!$A$2:$D$41,4,FALSE),"Merchant not found")</f>
        <v>East</v>
      </c>
      <c r="L69" s="4">
        <f>IFERROR(HLOOKUP(F69,Fee_Lookup!$B$1:$E$2,2,FALSE),"Fee not found")</f>
        <v>0.01</v>
      </c>
      <c r="M69" s="5">
        <f t="shared" si="1"/>
        <v>46049</v>
      </c>
      <c r="N69" s="4" t="str">
        <f t="shared" si="2"/>
        <v>21|2026-01-27</v>
      </c>
      <c r="O69" s="4">
        <f>IFERROR(VLOOKUP(N69,Merchant_Daily!$A:$B,2,FALSE),0)</f>
        <v>49</v>
      </c>
      <c r="P69" s="4" t="str">
        <f t="shared" si="3"/>
        <v>Standard Merchant Day</v>
      </c>
    </row>
    <row r="70">
      <c r="A70" s="1" t="s">
        <v>640</v>
      </c>
      <c r="B70" s="1">
        <v>231.0</v>
      </c>
      <c r="C70" s="1">
        <v>16.0</v>
      </c>
      <c r="D70" s="3">
        <v>46049.095138888886</v>
      </c>
      <c r="E70" s="1">
        <v>49.0</v>
      </c>
      <c r="F70" s="1" t="s">
        <v>35</v>
      </c>
      <c r="G70" s="1" t="s">
        <v>27</v>
      </c>
      <c r="H70" s="1">
        <v>96.0</v>
      </c>
      <c r="I70" s="4" t="str">
        <f>IFERROR(VLOOKUP(C70,Merchants!$A$2:$D$41,2,FALSE),"Merchant not found")</f>
        <v>Merchant_016</v>
      </c>
      <c r="J70" s="4" t="str">
        <f>IFERROR(VLOOKUP(C70,Merchants!$A$2:$D$41,3,FALSE),"Merchant not found")</f>
        <v>bill_payment</v>
      </c>
      <c r="K70" s="4" t="str">
        <f>IFERROR(VLOOKUP(C70,Merchants!$A$2:$D$41,4,FALSE),"Merchant not found")</f>
        <v>West</v>
      </c>
      <c r="L70" s="4">
        <f>IFERROR(HLOOKUP(F70,Fee_Lookup!$B$1:$E$2,2,FALSE),"Fee not found")</f>
        <v>0</v>
      </c>
      <c r="M70" s="5">
        <f t="shared" si="1"/>
        <v>46049</v>
      </c>
      <c r="N70" s="4" t="str">
        <f t="shared" si="2"/>
        <v>16|2026-01-27</v>
      </c>
      <c r="O70" s="4">
        <f>IFERROR(VLOOKUP(N70,Merchant_Daily!$A:$B,2,FALSE),0)</f>
        <v>348</v>
      </c>
      <c r="P70" s="4" t="str">
        <f t="shared" si="3"/>
        <v>Standard Merchant Day</v>
      </c>
    </row>
    <row r="71">
      <c r="A71" s="1" t="s">
        <v>641</v>
      </c>
      <c r="B71" s="1">
        <v>343.0</v>
      </c>
      <c r="C71" s="1">
        <v>25.0</v>
      </c>
      <c r="D71" s="3">
        <v>46037.777083333334</v>
      </c>
      <c r="E71" s="1">
        <v>49.0</v>
      </c>
      <c r="F71" s="1" t="s">
        <v>35</v>
      </c>
      <c r="G71" s="1" t="s">
        <v>27</v>
      </c>
      <c r="H71" s="1">
        <v>43.0</v>
      </c>
      <c r="I71" s="4" t="str">
        <f>IFERROR(VLOOKUP(C71,Merchants!$A$2:$D$41,2,FALSE),"Merchant not found")</f>
        <v>Merchant_025</v>
      </c>
      <c r="J71" s="4" t="str">
        <f>IFERROR(VLOOKUP(C71,Merchants!$A$2:$D$41,3,FALSE),"Merchant not found")</f>
        <v>travel</v>
      </c>
      <c r="K71" s="4" t="str">
        <f>IFERROR(VLOOKUP(C71,Merchants!$A$2:$D$41,4,FALSE),"Merchant not found")</f>
        <v>South</v>
      </c>
      <c r="L71" s="4">
        <f>IFERROR(HLOOKUP(F71,Fee_Lookup!$B$1:$E$2,2,FALSE),"Fee not found")</f>
        <v>0</v>
      </c>
      <c r="M71" s="5">
        <f t="shared" si="1"/>
        <v>46037</v>
      </c>
      <c r="N71" s="4" t="str">
        <f t="shared" si="2"/>
        <v>25|2026-01-15</v>
      </c>
      <c r="O71" s="4">
        <f>IFERROR(VLOOKUP(N71,Merchant_Daily!$A:$B,2,FALSE),0)</f>
        <v>49</v>
      </c>
      <c r="P71" s="4" t="str">
        <f t="shared" si="3"/>
        <v>Standard Merchant Day</v>
      </c>
    </row>
    <row r="72">
      <c r="A72" s="1" t="s">
        <v>642</v>
      </c>
      <c r="B72" s="1">
        <v>167.0</v>
      </c>
      <c r="C72" s="1">
        <v>12.0</v>
      </c>
      <c r="D72" s="3">
        <v>46023.6625</v>
      </c>
      <c r="E72" s="1">
        <v>499.0</v>
      </c>
      <c r="F72" s="1" t="s">
        <v>26</v>
      </c>
      <c r="G72" s="1" t="s">
        <v>27</v>
      </c>
      <c r="H72" s="1">
        <v>62.0</v>
      </c>
      <c r="I72" s="4" t="str">
        <f>IFERROR(VLOOKUP(C72,Merchants!$A$2:$D$41,2,FALSE),"Merchant not found")</f>
        <v>Merchant_012</v>
      </c>
      <c r="J72" s="4" t="str">
        <f>IFERROR(VLOOKUP(C72,Merchants!$A$2:$D$41,3,FALSE),"Merchant not found")</f>
        <v>ecommerce</v>
      </c>
      <c r="K72" s="4" t="str">
        <f>IFERROR(VLOOKUP(C72,Merchants!$A$2:$D$41,4,FALSE),"Merchant not found")</f>
        <v>East</v>
      </c>
      <c r="L72" s="4">
        <f>IFERROR(HLOOKUP(F72,Fee_Lookup!$B$1:$E$2,2,FALSE),"Fee not found")</f>
        <v>0.005</v>
      </c>
      <c r="M72" s="5">
        <f t="shared" si="1"/>
        <v>46023</v>
      </c>
      <c r="N72" s="4" t="str">
        <f t="shared" si="2"/>
        <v>12|2026-01-01</v>
      </c>
      <c r="O72" s="4">
        <f>IFERROR(VLOOKUP(N72,Merchant_Daily!$A:$B,2,FALSE),0)</f>
        <v>548</v>
      </c>
      <c r="P72" s="4" t="str">
        <f t="shared" si="3"/>
        <v>Standard Merchant Day</v>
      </c>
    </row>
    <row r="73">
      <c r="A73" s="1" t="s">
        <v>643</v>
      </c>
      <c r="B73" s="1">
        <v>133.0</v>
      </c>
      <c r="C73" s="1">
        <v>22.0</v>
      </c>
      <c r="D73" s="3">
        <v>46029.49375</v>
      </c>
      <c r="E73" s="1">
        <v>499.0</v>
      </c>
      <c r="F73" s="1" t="s">
        <v>35</v>
      </c>
      <c r="G73" s="1" t="s">
        <v>27</v>
      </c>
      <c r="H73" s="1">
        <v>35.0</v>
      </c>
      <c r="I73" s="4" t="str">
        <f>IFERROR(VLOOKUP(C73,Merchants!$A$2:$D$41,2,FALSE),"Merchant not found")</f>
        <v>Merchant_022</v>
      </c>
      <c r="J73" s="4" t="str">
        <f>IFERROR(VLOOKUP(C73,Merchants!$A$2:$D$41,3,FALSE),"Merchant not found")</f>
        <v>travel</v>
      </c>
      <c r="K73" s="4" t="str">
        <f>IFERROR(VLOOKUP(C73,Merchants!$A$2:$D$41,4,FALSE),"Merchant not found")</f>
        <v>South</v>
      </c>
      <c r="L73" s="4">
        <f>IFERROR(HLOOKUP(F73,Fee_Lookup!$B$1:$E$2,2,FALSE),"Fee not found")</f>
        <v>0</v>
      </c>
      <c r="M73" s="5">
        <f t="shared" si="1"/>
        <v>46029</v>
      </c>
      <c r="N73" s="4" t="str">
        <f t="shared" si="2"/>
        <v>22|2026-01-07</v>
      </c>
      <c r="O73" s="4">
        <f>IFERROR(VLOOKUP(N73,Merchant_Daily!$A:$B,2,FALSE),0)</f>
        <v>499</v>
      </c>
      <c r="P73" s="4" t="str">
        <f t="shared" si="3"/>
        <v>Standard Merchant Day</v>
      </c>
    </row>
    <row r="74">
      <c r="A74" s="1" t="s">
        <v>644</v>
      </c>
      <c r="B74" s="1">
        <v>142.0</v>
      </c>
      <c r="C74" s="1">
        <v>36.0</v>
      </c>
      <c r="D74" s="3">
        <v>46051.822222222225</v>
      </c>
      <c r="E74" s="1">
        <v>799.0</v>
      </c>
      <c r="F74" s="1" t="s">
        <v>26</v>
      </c>
      <c r="G74" s="1" t="s">
        <v>27</v>
      </c>
      <c r="H74" s="1">
        <v>1.0</v>
      </c>
      <c r="I74" s="4" t="str">
        <f>IFERROR(VLOOKUP(C74,Merchants!$A$2:$D$41,2,FALSE),"Merchant not found")</f>
        <v>Merchant_036</v>
      </c>
      <c r="J74" s="4" t="str">
        <f>IFERROR(VLOOKUP(C74,Merchants!$A$2:$D$41,3,FALSE),"Merchant not found")</f>
        <v>entertainment</v>
      </c>
      <c r="K74" s="4" t="str">
        <f>IFERROR(VLOOKUP(C74,Merchants!$A$2:$D$41,4,FALSE),"Merchant not found")</f>
        <v>East</v>
      </c>
      <c r="L74" s="4">
        <f>IFERROR(HLOOKUP(F74,Fee_Lookup!$B$1:$E$2,2,FALSE),"Fee not found")</f>
        <v>0.005</v>
      </c>
      <c r="M74" s="5">
        <f t="shared" si="1"/>
        <v>46051</v>
      </c>
      <c r="N74" s="4" t="str">
        <f t="shared" si="2"/>
        <v>36|2026-01-29</v>
      </c>
      <c r="O74" s="4">
        <f>IFERROR(VLOOKUP(N74,Merchant_Daily!$A:$B,2,FALSE),0)</f>
        <v>799</v>
      </c>
      <c r="P74" s="4" t="str">
        <f t="shared" si="3"/>
        <v>Standard Merchant Day</v>
      </c>
    </row>
    <row r="75">
      <c r="A75" s="1" t="s">
        <v>645</v>
      </c>
      <c r="B75" s="1">
        <v>124.0</v>
      </c>
      <c r="C75" s="1">
        <v>27.0</v>
      </c>
      <c r="D75" s="3">
        <v>46039.25347222222</v>
      </c>
      <c r="E75" s="1">
        <v>499.0</v>
      </c>
      <c r="F75" s="1" t="s">
        <v>26</v>
      </c>
      <c r="G75" s="1" t="s">
        <v>27</v>
      </c>
      <c r="H75" s="1">
        <v>62.0</v>
      </c>
      <c r="I75" s="4" t="str">
        <f>IFERROR(VLOOKUP(C75,Merchants!$A$2:$D$41,2,FALSE),"Merchant not found")</f>
        <v>Merchant_027</v>
      </c>
      <c r="J75" s="4" t="str">
        <f>IFERROR(VLOOKUP(C75,Merchants!$A$2:$D$41,3,FALSE),"Merchant not found")</f>
        <v>ecommerce</v>
      </c>
      <c r="K75" s="4" t="str">
        <f>IFERROR(VLOOKUP(C75,Merchants!$A$2:$D$41,4,FALSE),"Merchant not found")</f>
        <v>North</v>
      </c>
      <c r="L75" s="4">
        <f>IFERROR(HLOOKUP(F75,Fee_Lookup!$B$1:$E$2,2,FALSE),"Fee not found")</f>
        <v>0.005</v>
      </c>
      <c r="M75" s="5">
        <f t="shared" si="1"/>
        <v>46039</v>
      </c>
      <c r="N75" s="4" t="str">
        <f t="shared" si="2"/>
        <v>27|2026-01-17</v>
      </c>
      <c r="O75" s="4">
        <f>IFERROR(VLOOKUP(N75,Merchant_Daily!$A:$B,2,FALSE),0)</f>
        <v>1597</v>
      </c>
      <c r="P75" s="4" t="str">
        <f t="shared" si="3"/>
        <v>Standard Merchant Day</v>
      </c>
    </row>
    <row r="76">
      <c r="A76" s="1" t="s">
        <v>646</v>
      </c>
      <c r="B76" s="1">
        <v>244.0</v>
      </c>
      <c r="C76" s="1">
        <v>32.0</v>
      </c>
      <c r="D76" s="3">
        <v>46040.322222222225</v>
      </c>
      <c r="E76" s="1">
        <v>149.0</v>
      </c>
      <c r="F76" s="1" t="s">
        <v>35</v>
      </c>
      <c r="G76" s="1" t="s">
        <v>27</v>
      </c>
      <c r="H76" s="1">
        <v>57.0</v>
      </c>
      <c r="I76" s="4" t="str">
        <f>IFERROR(VLOOKUP(C76,Merchants!$A$2:$D$41,2,FALSE),"Merchant not found")</f>
        <v>Merchant_032</v>
      </c>
      <c r="J76" s="4" t="str">
        <f>IFERROR(VLOOKUP(C76,Merchants!$A$2:$D$41,3,FALSE),"Merchant not found")</f>
        <v>food_delivery</v>
      </c>
      <c r="K76" s="4" t="str">
        <f>IFERROR(VLOOKUP(C76,Merchants!$A$2:$D$41,4,FALSE),"Merchant not found")</f>
        <v>West</v>
      </c>
      <c r="L76" s="4">
        <f>IFERROR(HLOOKUP(F76,Fee_Lookup!$B$1:$E$2,2,FALSE),"Fee not found")</f>
        <v>0</v>
      </c>
      <c r="M76" s="5">
        <f t="shared" si="1"/>
        <v>46040</v>
      </c>
      <c r="N76" s="4" t="str">
        <f t="shared" si="2"/>
        <v>32|2026-01-18</v>
      </c>
      <c r="O76" s="4">
        <f>IFERROR(VLOOKUP(N76,Merchant_Daily!$A:$B,2,FALSE),0)</f>
        <v>149</v>
      </c>
      <c r="P76" s="4" t="str">
        <f t="shared" si="3"/>
        <v>Standard Merchant Day</v>
      </c>
    </row>
    <row r="77">
      <c r="A77" s="1" t="s">
        <v>647</v>
      </c>
      <c r="B77" s="1">
        <v>151.0</v>
      </c>
      <c r="C77" s="1">
        <v>15.0</v>
      </c>
      <c r="D77" s="3">
        <v>46048.00347222222</v>
      </c>
      <c r="E77" s="1">
        <v>4999.0</v>
      </c>
      <c r="F77" s="1" t="s">
        <v>35</v>
      </c>
      <c r="G77" s="1" t="s">
        <v>27</v>
      </c>
      <c r="H77" s="1">
        <v>51.0</v>
      </c>
      <c r="I77" s="4" t="str">
        <f>IFERROR(VLOOKUP(C77,Merchants!$A$2:$D$41,2,FALSE),"Merchant not found")</f>
        <v>Merchant_015</v>
      </c>
      <c r="J77" s="4" t="str">
        <f>IFERROR(VLOOKUP(C77,Merchants!$A$2:$D$41,3,FALSE),"Merchant not found")</f>
        <v>travel</v>
      </c>
      <c r="K77" s="4" t="str">
        <f>IFERROR(VLOOKUP(C77,Merchants!$A$2:$D$41,4,FALSE),"Merchant not found")</f>
        <v>North</v>
      </c>
      <c r="L77" s="4">
        <f>IFERROR(HLOOKUP(F77,Fee_Lookup!$B$1:$E$2,2,FALSE),"Fee not found")</f>
        <v>0</v>
      </c>
      <c r="M77" s="5">
        <f t="shared" si="1"/>
        <v>46048</v>
      </c>
      <c r="N77" s="4" t="str">
        <f t="shared" si="2"/>
        <v>15|2026-01-26</v>
      </c>
      <c r="O77" s="4">
        <f>IFERROR(VLOOKUP(N77,Merchant_Daily!$A:$B,2,FALSE),0)</f>
        <v>4999</v>
      </c>
      <c r="P77" s="4" t="str">
        <f t="shared" si="3"/>
        <v>Standard Merchant Day</v>
      </c>
    </row>
    <row r="78">
      <c r="A78" s="1" t="s">
        <v>648</v>
      </c>
      <c r="B78" s="1">
        <v>340.0</v>
      </c>
      <c r="C78" s="1">
        <v>38.0</v>
      </c>
      <c r="D78" s="3">
        <v>46045.30486111111</v>
      </c>
      <c r="E78" s="1">
        <v>499.0</v>
      </c>
      <c r="F78" s="1" t="s">
        <v>46</v>
      </c>
      <c r="G78" s="1" t="s">
        <v>27</v>
      </c>
      <c r="H78" s="1">
        <v>47.0</v>
      </c>
      <c r="I78" s="4" t="str">
        <f>IFERROR(VLOOKUP(C78,Merchants!$A$2:$D$41,2,FALSE),"Merchant not found")</f>
        <v>Merchant_038</v>
      </c>
      <c r="J78" s="4" t="str">
        <f>IFERROR(VLOOKUP(C78,Merchants!$A$2:$D$41,3,FALSE),"Merchant not found")</f>
        <v>grocery</v>
      </c>
      <c r="K78" s="4" t="str">
        <f>IFERROR(VLOOKUP(C78,Merchants!$A$2:$D$41,4,FALSE),"Merchant not found")</f>
        <v>East</v>
      </c>
      <c r="L78" s="4">
        <f>IFERROR(HLOOKUP(F78,Fee_Lookup!$B$1:$E$2,2,FALSE),"Fee not found")</f>
        <v>0.01</v>
      </c>
      <c r="M78" s="5">
        <f t="shared" si="1"/>
        <v>46045</v>
      </c>
      <c r="N78" s="4" t="str">
        <f t="shared" si="2"/>
        <v>38|2026-01-23</v>
      </c>
      <c r="O78" s="4">
        <f>IFERROR(VLOOKUP(N78,Merchant_Daily!$A:$B,2,FALSE),0)</f>
        <v>499</v>
      </c>
      <c r="P78" s="4" t="str">
        <f t="shared" si="3"/>
        <v>Standard Merchant Day</v>
      </c>
    </row>
    <row r="79">
      <c r="A79" s="1" t="s">
        <v>649</v>
      </c>
      <c r="B79" s="1">
        <v>177.0</v>
      </c>
      <c r="C79" s="1">
        <v>28.0</v>
      </c>
      <c r="D79" s="3">
        <v>46038.73125</v>
      </c>
      <c r="E79" s="1">
        <v>299.0</v>
      </c>
      <c r="F79" s="1" t="s">
        <v>35</v>
      </c>
      <c r="G79" s="1" t="s">
        <v>27</v>
      </c>
      <c r="H79" s="1">
        <v>95.0</v>
      </c>
      <c r="I79" s="4" t="str">
        <f>IFERROR(VLOOKUP(C79,Merchants!$A$2:$D$41,2,FALSE),"Merchant not found")</f>
        <v>Merchant_028</v>
      </c>
      <c r="J79" s="4" t="str">
        <f>IFERROR(VLOOKUP(C79,Merchants!$A$2:$D$41,3,FALSE),"Merchant not found")</f>
        <v>ecommerce</v>
      </c>
      <c r="K79" s="4" t="str">
        <f>IFERROR(VLOOKUP(C79,Merchants!$A$2:$D$41,4,FALSE),"Merchant not found")</f>
        <v>South</v>
      </c>
      <c r="L79" s="4">
        <f>IFERROR(HLOOKUP(F79,Fee_Lookup!$B$1:$E$2,2,FALSE),"Fee not found")</f>
        <v>0</v>
      </c>
      <c r="M79" s="5">
        <f t="shared" si="1"/>
        <v>46038</v>
      </c>
      <c r="N79" s="4" t="str">
        <f t="shared" si="2"/>
        <v>28|2026-01-16</v>
      </c>
      <c r="O79" s="4">
        <f>IFERROR(VLOOKUP(N79,Merchant_Daily!$A:$B,2,FALSE),0)</f>
        <v>299</v>
      </c>
      <c r="P79" s="4" t="str">
        <f t="shared" si="3"/>
        <v>Standard Merchant Day</v>
      </c>
    </row>
    <row r="80">
      <c r="A80" s="1" t="s">
        <v>650</v>
      </c>
      <c r="B80" s="1">
        <v>233.0</v>
      </c>
      <c r="C80" s="1">
        <v>18.0</v>
      </c>
      <c r="D80" s="3">
        <v>46040.43194444444</v>
      </c>
      <c r="E80" s="1">
        <v>499.0</v>
      </c>
      <c r="F80" s="1" t="s">
        <v>35</v>
      </c>
      <c r="G80" s="1" t="s">
        <v>27</v>
      </c>
      <c r="H80" s="1">
        <v>39.0</v>
      </c>
      <c r="I80" s="4" t="str">
        <f>IFERROR(VLOOKUP(C80,Merchants!$A$2:$D$41,2,FALSE),"Merchant not found")</f>
        <v>Merchant_018</v>
      </c>
      <c r="J80" s="4" t="str">
        <f>IFERROR(VLOOKUP(C80,Merchants!$A$2:$D$41,3,FALSE),"Merchant not found")</f>
        <v>grocery</v>
      </c>
      <c r="K80" s="4" t="str">
        <f>IFERROR(VLOOKUP(C80,Merchants!$A$2:$D$41,4,FALSE),"Merchant not found")</f>
        <v>West</v>
      </c>
      <c r="L80" s="4">
        <f>IFERROR(HLOOKUP(F80,Fee_Lookup!$B$1:$E$2,2,FALSE),"Fee not found")</f>
        <v>0</v>
      </c>
      <c r="M80" s="5">
        <f t="shared" si="1"/>
        <v>46040</v>
      </c>
      <c r="N80" s="4" t="str">
        <f t="shared" si="2"/>
        <v>18|2026-01-18</v>
      </c>
      <c r="O80" s="4">
        <f>IFERROR(VLOOKUP(N80,Merchant_Daily!$A:$B,2,FALSE),0)</f>
        <v>499</v>
      </c>
      <c r="P80" s="4" t="str">
        <f t="shared" si="3"/>
        <v>Standard Merchant Day</v>
      </c>
    </row>
    <row r="81">
      <c r="A81" s="1" t="s">
        <v>651</v>
      </c>
      <c r="B81" s="1">
        <v>99.0</v>
      </c>
      <c r="C81" s="1">
        <v>21.0</v>
      </c>
      <c r="D81" s="3">
        <v>46031.29652777778</v>
      </c>
      <c r="E81" s="1">
        <v>499.0</v>
      </c>
      <c r="F81" s="1" t="s">
        <v>35</v>
      </c>
      <c r="G81" s="1" t="s">
        <v>27</v>
      </c>
      <c r="H81" s="1">
        <v>15.0</v>
      </c>
      <c r="I81" s="4" t="str">
        <f>IFERROR(VLOOKUP(C81,Merchants!$A$2:$D$41,2,FALSE),"Merchant not found")</f>
        <v>Merchant_021</v>
      </c>
      <c r="J81" s="4" t="str">
        <f>IFERROR(VLOOKUP(C81,Merchants!$A$2:$D$41,3,FALSE),"Merchant not found")</f>
        <v>food_delivery</v>
      </c>
      <c r="K81" s="4" t="str">
        <f>IFERROR(VLOOKUP(C81,Merchants!$A$2:$D$41,4,FALSE),"Merchant not found")</f>
        <v>East</v>
      </c>
      <c r="L81" s="4">
        <f>IFERROR(HLOOKUP(F81,Fee_Lookup!$B$1:$E$2,2,FALSE),"Fee not found")</f>
        <v>0</v>
      </c>
      <c r="M81" s="5">
        <f t="shared" si="1"/>
        <v>46031</v>
      </c>
      <c r="N81" s="4" t="str">
        <f t="shared" si="2"/>
        <v>21|2026-01-09</v>
      </c>
      <c r="O81" s="4">
        <f>IFERROR(VLOOKUP(N81,Merchant_Daily!$A:$B,2,FALSE),0)</f>
        <v>499</v>
      </c>
      <c r="P81" s="4" t="str">
        <f t="shared" si="3"/>
        <v>Standard Merchant Day</v>
      </c>
    </row>
    <row r="82">
      <c r="A82" s="1" t="s">
        <v>652</v>
      </c>
      <c r="B82" s="1">
        <v>95.0</v>
      </c>
      <c r="C82" s="1">
        <v>13.0</v>
      </c>
      <c r="D82" s="3">
        <v>46046.74166666667</v>
      </c>
      <c r="E82" s="1">
        <v>2999.0</v>
      </c>
      <c r="F82" s="1" t="s">
        <v>47</v>
      </c>
      <c r="G82" s="1" t="s">
        <v>30</v>
      </c>
      <c r="H82" s="1">
        <v>27.0</v>
      </c>
      <c r="I82" s="4" t="str">
        <f>IFERROR(VLOOKUP(C82,Merchants!$A$2:$D$41,2,FALSE),"Merchant not found")</f>
        <v>Merchant_013</v>
      </c>
      <c r="J82" s="4" t="str">
        <f>IFERROR(VLOOKUP(C82,Merchants!$A$2:$D$41,3,FALSE),"Merchant not found")</f>
        <v>travel</v>
      </c>
      <c r="K82" s="4" t="str">
        <f>IFERROR(VLOOKUP(C82,Merchants!$A$2:$D$41,4,FALSE),"Merchant not found")</f>
        <v>East</v>
      </c>
      <c r="L82" s="4">
        <f>IFERROR(HLOOKUP(F82,Fee_Lookup!$B$1:$E$2,2,FALSE),"Fee not found")</f>
        <v>0.015</v>
      </c>
      <c r="M82" s="5">
        <f t="shared" si="1"/>
        <v>46046</v>
      </c>
      <c r="N82" s="4" t="str">
        <f t="shared" si="2"/>
        <v>13|2026-01-24</v>
      </c>
      <c r="O82" s="4">
        <f>IFERROR(VLOOKUP(N82,Merchant_Daily!$A:$B,2,FALSE),0)</f>
        <v>2999</v>
      </c>
      <c r="P82" s="4" t="str">
        <f t="shared" si="3"/>
        <v>Standard Merchant Day</v>
      </c>
    </row>
    <row r="83">
      <c r="A83" s="1" t="s">
        <v>653</v>
      </c>
      <c r="B83" s="1">
        <v>302.0</v>
      </c>
      <c r="C83" s="1">
        <v>34.0</v>
      </c>
      <c r="D83" s="3">
        <v>46046.63680555556</v>
      </c>
      <c r="E83" s="1">
        <v>49.0</v>
      </c>
      <c r="F83" s="1" t="s">
        <v>47</v>
      </c>
      <c r="G83" s="1" t="s">
        <v>27</v>
      </c>
      <c r="H83" s="1">
        <v>76.0</v>
      </c>
      <c r="I83" s="4" t="str">
        <f>IFERROR(VLOOKUP(C83,Merchants!$A$2:$D$41,2,FALSE),"Merchant not found")</f>
        <v>Merchant_034</v>
      </c>
      <c r="J83" s="4" t="str">
        <f>IFERROR(VLOOKUP(C83,Merchants!$A$2:$D$41,3,FALSE),"Merchant not found")</f>
        <v>travel</v>
      </c>
      <c r="K83" s="4" t="str">
        <f>IFERROR(VLOOKUP(C83,Merchants!$A$2:$D$41,4,FALSE),"Merchant not found")</f>
        <v>South</v>
      </c>
      <c r="L83" s="4">
        <f>IFERROR(HLOOKUP(F83,Fee_Lookup!$B$1:$E$2,2,FALSE),"Fee not found")</f>
        <v>0.015</v>
      </c>
      <c r="M83" s="5">
        <f t="shared" si="1"/>
        <v>46046</v>
      </c>
      <c r="N83" s="4" t="str">
        <f t="shared" si="2"/>
        <v>34|2026-01-24</v>
      </c>
      <c r="O83" s="4">
        <f>IFERROR(VLOOKUP(N83,Merchant_Daily!$A:$B,2,FALSE),0)</f>
        <v>548</v>
      </c>
      <c r="P83" s="4" t="str">
        <f t="shared" si="3"/>
        <v>Standard Merchant Day</v>
      </c>
    </row>
    <row r="84">
      <c r="A84" s="1" t="s">
        <v>654</v>
      </c>
      <c r="B84" s="1">
        <v>100.0</v>
      </c>
      <c r="C84" s="1">
        <v>19.0</v>
      </c>
      <c r="D84" s="3">
        <v>46032.16180555556</v>
      </c>
      <c r="E84" s="1">
        <v>2999.0</v>
      </c>
      <c r="F84" s="1" t="s">
        <v>47</v>
      </c>
      <c r="G84" s="1" t="s">
        <v>27</v>
      </c>
      <c r="H84" s="1">
        <v>29.0</v>
      </c>
      <c r="I84" s="4" t="str">
        <f>IFERROR(VLOOKUP(C84,Merchants!$A$2:$D$41,2,FALSE),"Merchant not found")</f>
        <v>Merchant_019</v>
      </c>
      <c r="J84" s="4" t="str">
        <f>IFERROR(VLOOKUP(C84,Merchants!$A$2:$D$41,3,FALSE),"Merchant not found")</f>
        <v>grocery</v>
      </c>
      <c r="K84" s="4" t="str">
        <f>IFERROR(VLOOKUP(C84,Merchants!$A$2:$D$41,4,FALSE),"Merchant not found")</f>
        <v>North</v>
      </c>
      <c r="L84" s="4">
        <f>IFERROR(HLOOKUP(F84,Fee_Lookup!$B$1:$E$2,2,FALSE),"Fee not found")</f>
        <v>0.015</v>
      </c>
      <c r="M84" s="5">
        <f t="shared" si="1"/>
        <v>46032</v>
      </c>
      <c r="N84" s="4" t="str">
        <f t="shared" si="2"/>
        <v>19|2026-01-10</v>
      </c>
      <c r="O84" s="4">
        <f>IFERROR(VLOOKUP(N84,Merchant_Daily!$A:$B,2,FALSE),0)</f>
        <v>2999</v>
      </c>
      <c r="P84" s="4" t="str">
        <f t="shared" si="3"/>
        <v>Standard Merchant Day</v>
      </c>
    </row>
    <row r="85">
      <c r="A85" s="1" t="s">
        <v>655</v>
      </c>
      <c r="B85" s="1">
        <v>8.0</v>
      </c>
      <c r="C85" s="1">
        <v>35.0</v>
      </c>
      <c r="D85" s="3">
        <v>46034.22152777778</v>
      </c>
      <c r="E85" s="1">
        <v>99.0</v>
      </c>
      <c r="F85" s="1" t="s">
        <v>35</v>
      </c>
      <c r="G85" s="1" t="s">
        <v>27</v>
      </c>
      <c r="H85" s="1">
        <v>16.0</v>
      </c>
      <c r="I85" s="4" t="str">
        <f>IFERROR(VLOOKUP(C85,Merchants!$A$2:$D$41,2,FALSE),"Merchant not found")</f>
        <v>Merchant_035</v>
      </c>
      <c r="J85" s="4" t="str">
        <f>IFERROR(VLOOKUP(C85,Merchants!$A$2:$D$41,3,FALSE),"Merchant not found")</f>
        <v>recharge</v>
      </c>
      <c r="K85" s="4" t="str">
        <f>IFERROR(VLOOKUP(C85,Merchants!$A$2:$D$41,4,FALSE),"Merchant not found")</f>
        <v>East</v>
      </c>
      <c r="L85" s="4">
        <f>IFERROR(HLOOKUP(F85,Fee_Lookup!$B$1:$E$2,2,FALSE),"Fee not found")</f>
        <v>0</v>
      </c>
      <c r="M85" s="5">
        <f t="shared" si="1"/>
        <v>46034</v>
      </c>
      <c r="N85" s="4" t="str">
        <f t="shared" si="2"/>
        <v>35|2026-01-12</v>
      </c>
      <c r="O85" s="4">
        <f>IFERROR(VLOOKUP(N85,Merchant_Daily!$A:$B,2,FALSE),0)</f>
        <v>99</v>
      </c>
      <c r="P85" s="4" t="str">
        <f t="shared" si="3"/>
        <v>Standard Merchant Day</v>
      </c>
    </row>
    <row r="86">
      <c r="A86" s="1" t="s">
        <v>656</v>
      </c>
      <c r="B86" s="1">
        <v>284.0</v>
      </c>
      <c r="C86" s="1">
        <v>19.0</v>
      </c>
      <c r="D86" s="3">
        <v>46031.04375</v>
      </c>
      <c r="E86" s="1">
        <v>99.0</v>
      </c>
      <c r="F86" s="1" t="s">
        <v>35</v>
      </c>
      <c r="G86" s="1" t="s">
        <v>27</v>
      </c>
      <c r="H86" s="1">
        <v>89.0</v>
      </c>
      <c r="I86" s="4" t="str">
        <f>IFERROR(VLOOKUP(C86,Merchants!$A$2:$D$41,2,FALSE),"Merchant not found")</f>
        <v>Merchant_019</v>
      </c>
      <c r="J86" s="4" t="str">
        <f>IFERROR(VLOOKUP(C86,Merchants!$A$2:$D$41,3,FALSE),"Merchant not found")</f>
        <v>grocery</v>
      </c>
      <c r="K86" s="4" t="str">
        <f>IFERROR(VLOOKUP(C86,Merchants!$A$2:$D$41,4,FALSE),"Merchant not found")</f>
        <v>North</v>
      </c>
      <c r="L86" s="4">
        <f>IFERROR(HLOOKUP(F86,Fee_Lookup!$B$1:$E$2,2,FALSE),"Fee not found")</f>
        <v>0</v>
      </c>
      <c r="M86" s="5">
        <f t="shared" si="1"/>
        <v>46031</v>
      </c>
      <c r="N86" s="4" t="str">
        <f t="shared" si="2"/>
        <v>19|2026-01-09</v>
      </c>
      <c r="O86" s="4">
        <f>IFERROR(VLOOKUP(N86,Merchant_Daily!$A:$B,2,FALSE),0)</f>
        <v>99</v>
      </c>
      <c r="P86" s="4" t="str">
        <f t="shared" si="3"/>
        <v>Standard Merchant Day</v>
      </c>
    </row>
    <row r="87">
      <c r="A87" s="1" t="s">
        <v>657</v>
      </c>
      <c r="B87" s="1">
        <v>252.0</v>
      </c>
      <c r="C87" s="1">
        <v>7.0</v>
      </c>
      <c r="D87" s="3">
        <v>46027.87152777778</v>
      </c>
      <c r="E87" s="1">
        <v>2999.0</v>
      </c>
      <c r="F87" s="1" t="s">
        <v>26</v>
      </c>
      <c r="G87" s="1" t="s">
        <v>27</v>
      </c>
      <c r="H87" s="1">
        <v>1.0</v>
      </c>
      <c r="I87" s="4" t="str">
        <f>IFERROR(VLOOKUP(C87,Merchants!$A$2:$D$41,2,FALSE),"Merchant not found")</f>
        <v>Merchant_007</v>
      </c>
      <c r="J87" s="4" t="str">
        <f>IFERROR(VLOOKUP(C87,Merchants!$A$2:$D$41,3,FALSE),"Merchant not found")</f>
        <v>food_delivery</v>
      </c>
      <c r="K87" s="4" t="str">
        <f>IFERROR(VLOOKUP(C87,Merchants!$A$2:$D$41,4,FALSE),"Merchant not found")</f>
        <v>East</v>
      </c>
      <c r="L87" s="4">
        <f>IFERROR(HLOOKUP(F87,Fee_Lookup!$B$1:$E$2,2,FALSE),"Fee not found")</f>
        <v>0.005</v>
      </c>
      <c r="M87" s="5">
        <f t="shared" si="1"/>
        <v>46027</v>
      </c>
      <c r="N87" s="4" t="str">
        <f t="shared" si="2"/>
        <v>7|2026-01-05</v>
      </c>
      <c r="O87" s="4">
        <f>IFERROR(VLOOKUP(N87,Merchant_Daily!$A:$B,2,FALSE),0)</f>
        <v>4498</v>
      </c>
      <c r="P87" s="4" t="str">
        <f t="shared" si="3"/>
        <v>Standard Merchant Day</v>
      </c>
    </row>
    <row r="88">
      <c r="A88" s="1" t="s">
        <v>658</v>
      </c>
      <c r="B88" s="1">
        <v>246.0</v>
      </c>
      <c r="C88" s="1">
        <v>29.0</v>
      </c>
      <c r="D88" s="3">
        <v>46041.395833333336</v>
      </c>
      <c r="E88" s="1">
        <v>49.0</v>
      </c>
      <c r="F88" s="1" t="s">
        <v>26</v>
      </c>
      <c r="G88" s="1" t="s">
        <v>27</v>
      </c>
      <c r="H88" s="1">
        <v>43.0</v>
      </c>
      <c r="I88" s="4" t="str">
        <f>IFERROR(VLOOKUP(C88,Merchants!$A$2:$D$41,2,FALSE),"Merchant not found")</f>
        <v>Merchant_029</v>
      </c>
      <c r="J88" s="4" t="str">
        <f>IFERROR(VLOOKUP(C88,Merchants!$A$2:$D$41,3,FALSE),"Merchant not found")</f>
        <v>ecommerce</v>
      </c>
      <c r="K88" s="4" t="str">
        <f>IFERROR(VLOOKUP(C88,Merchants!$A$2:$D$41,4,FALSE),"Merchant not found")</f>
        <v>North</v>
      </c>
      <c r="L88" s="4">
        <f>IFERROR(HLOOKUP(F88,Fee_Lookup!$B$1:$E$2,2,FALSE),"Fee not found")</f>
        <v>0.005</v>
      </c>
      <c r="M88" s="5">
        <f t="shared" si="1"/>
        <v>46041</v>
      </c>
      <c r="N88" s="4" t="str">
        <f t="shared" si="2"/>
        <v>29|2026-01-19</v>
      </c>
      <c r="O88" s="4">
        <f>IFERROR(VLOOKUP(N88,Merchant_Daily!$A:$B,2,FALSE),0)</f>
        <v>49</v>
      </c>
      <c r="P88" s="4" t="str">
        <f t="shared" si="3"/>
        <v>Standard Merchant Day</v>
      </c>
    </row>
    <row r="89">
      <c r="A89" s="1" t="s">
        <v>659</v>
      </c>
      <c r="B89" s="1">
        <v>245.0</v>
      </c>
      <c r="C89" s="1">
        <v>8.0</v>
      </c>
      <c r="D89" s="3">
        <v>46028.052777777775</v>
      </c>
      <c r="E89" s="1">
        <v>49.0</v>
      </c>
      <c r="F89" s="1" t="s">
        <v>35</v>
      </c>
      <c r="G89" s="1" t="s">
        <v>34</v>
      </c>
      <c r="H89" s="1">
        <v>8.0</v>
      </c>
      <c r="I89" s="4" t="str">
        <f>IFERROR(VLOOKUP(C89,Merchants!$A$2:$D$41,2,FALSE),"Merchant not found")</f>
        <v>Merchant_008</v>
      </c>
      <c r="J89" s="4" t="str">
        <f>IFERROR(VLOOKUP(C89,Merchants!$A$2:$D$41,3,FALSE),"Merchant not found")</f>
        <v>food_delivery</v>
      </c>
      <c r="K89" s="4" t="str">
        <f>IFERROR(VLOOKUP(C89,Merchants!$A$2:$D$41,4,FALSE),"Merchant not found")</f>
        <v>North</v>
      </c>
      <c r="L89" s="4">
        <f>IFERROR(HLOOKUP(F89,Fee_Lookup!$B$1:$E$2,2,FALSE),"Fee not found")</f>
        <v>0</v>
      </c>
      <c r="M89" s="5">
        <f t="shared" si="1"/>
        <v>46028</v>
      </c>
      <c r="N89" s="4" t="str">
        <f t="shared" si="2"/>
        <v>8|2026-01-06</v>
      </c>
      <c r="O89" s="4">
        <f>IFERROR(VLOOKUP(N89,Merchant_Daily!$A:$B,2,FALSE),0)</f>
        <v>49</v>
      </c>
      <c r="P89" s="4" t="str">
        <f t="shared" si="3"/>
        <v>Standard Merchant Day</v>
      </c>
    </row>
    <row r="90">
      <c r="A90" s="1" t="s">
        <v>660</v>
      </c>
      <c r="B90" s="1">
        <v>296.0</v>
      </c>
      <c r="C90" s="1">
        <v>4.0</v>
      </c>
      <c r="D90" s="3">
        <v>46035.62777777778</v>
      </c>
      <c r="E90" s="1">
        <v>799.0</v>
      </c>
      <c r="F90" s="1" t="s">
        <v>26</v>
      </c>
      <c r="G90" s="1" t="s">
        <v>27</v>
      </c>
      <c r="H90" s="1">
        <v>19.0</v>
      </c>
      <c r="I90" s="4" t="str">
        <f>IFERROR(VLOOKUP(C90,Merchants!$A$2:$D$41,2,FALSE),"Merchant not found")</f>
        <v>Merchant_004</v>
      </c>
      <c r="J90" s="4" t="str">
        <f>IFERROR(VLOOKUP(C90,Merchants!$A$2:$D$41,3,FALSE),"Merchant not found")</f>
        <v>ecommerce</v>
      </c>
      <c r="K90" s="4" t="str">
        <f>IFERROR(VLOOKUP(C90,Merchants!$A$2:$D$41,4,FALSE),"Merchant not found")</f>
        <v>East</v>
      </c>
      <c r="L90" s="4">
        <f>IFERROR(HLOOKUP(F90,Fee_Lookup!$B$1:$E$2,2,FALSE),"Fee not found")</f>
        <v>0.005</v>
      </c>
      <c r="M90" s="5">
        <f t="shared" si="1"/>
        <v>46035</v>
      </c>
      <c r="N90" s="4" t="str">
        <f t="shared" si="2"/>
        <v>4|2026-01-13</v>
      </c>
      <c r="O90" s="4">
        <f>IFERROR(VLOOKUP(N90,Merchant_Daily!$A:$B,2,FALSE),0)</f>
        <v>948</v>
      </c>
      <c r="P90" s="4" t="str">
        <f t="shared" si="3"/>
        <v>Standard Merchant Day</v>
      </c>
    </row>
    <row r="91">
      <c r="A91" s="1" t="s">
        <v>661</v>
      </c>
      <c r="B91" s="1">
        <v>44.0</v>
      </c>
      <c r="C91" s="1">
        <v>16.0</v>
      </c>
      <c r="D91" s="3">
        <v>46027.763194444444</v>
      </c>
      <c r="E91" s="1">
        <v>149.0</v>
      </c>
      <c r="F91" s="1" t="s">
        <v>35</v>
      </c>
      <c r="G91" s="1" t="s">
        <v>27</v>
      </c>
      <c r="H91" s="1">
        <v>15.0</v>
      </c>
      <c r="I91" s="4" t="str">
        <f>IFERROR(VLOOKUP(C91,Merchants!$A$2:$D$41,2,FALSE),"Merchant not found")</f>
        <v>Merchant_016</v>
      </c>
      <c r="J91" s="4" t="str">
        <f>IFERROR(VLOOKUP(C91,Merchants!$A$2:$D$41,3,FALSE),"Merchant not found")</f>
        <v>bill_payment</v>
      </c>
      <c r="K91" s="4" t="str">
        <f>IFERROR(VLOOKUP(C91,Merchants!$A$2:$D$41,4,FALSE),"Merchant not found")</f>
        <v>West</v>
      </c>
      <c r="L91" s="4">
        <f>IFERROR(HLOOKUP(F91,Fee_Lookup!$B$1:$E$2,2,FALSE),"Fee not found")</f>
        <v>0</v>
      </c>
      <c r="M91" s="5">
        <f t="shared" si="1"/>
        <v>46027</v>
      </c>
      <c r="N91" s="4" t="str">
        <f t="shared" si="2"/>
        <v>16|2026-01-05</v>
      </c>
      <c r="O91" s="4">
        <f>IFERROR(VLOOKUP(N91,Merchant_Daily!$A:$B,2,FALSE),0)</f>
        <v>149</v>
      </c>
      <c r="P91" s="4" t="str">
        <f t="shared" si="3"/>
        <v>Standard Merchant Day</v>
      </c>
    </row>
    <row r="92">
      <c r="A92" s="1" t="s">
        <v>662</v>
      </c>
      <c r="B92" s="1">
        <v>306.0</v>
      </c>
      <c r="C92" s="1">
        <v>40.0</v>
      </c>
      <c r="D92" s="3">
        <v>46040.56805555556</v>
      </c>
      <c r="E92" s="1">
        <v>799.0</v>
      </c>
      <c r="F92" s="1" t="s">
        <v>46</v>
      </c>
      <c r="G92" s="1" t="s">
        <v>27</v>
      </c>
      <c r="H92" s="1">
        <v>28.0</v>
      </c>
      <c r="I92" s="4" t="str">
        <f>IFERROR(VLOOKUP(C92,Merchants!$A$2:$D$41,2,FALSE),"Merchant not found")</f>
        <v>Merchant_040</v>
      </c>
      <c r="J92" s="4" t="str">
        <f>IFERROR(VLOOKUP(C92,Merchants!$A$2:$D$41,3,FALSE),"Merchant not found")</f>
        <v>entertainment</v>
      </c>
      <c r="K92" s="4" t="str">
        <f>IFERROR(VLOOKUP(C92,Merchants!$A$2:$D$41,4,FALSE),"Merchant not found")</f>
        <v>South</v>
      </c>
      <c r="L92" s="4">
        <f>IFERROR(HLOOKUP(F92,Fee_Lookup!$B$1:$E$2,2,FALSE),"Fee not found")</f>
        <v>0.01</v>
      </c>
      <c r="M92" s="5">
        <f t="shared" si="1"/>
        <v>46040</v>
      </c>
      <c r="N92" s="4" t="str">
        <f t="shared" si="2"/>
        <v>40|2026-01-18</v>
      </c>
      <c r="O92" s="4">
        <f>IFERROR(VLOOKUP(N92,Merchant_Daily!$A:$B,2,FALSE),0)</f>
        <v>799</v>
      </c>
      <c r="P92" s="4" t="str">
        <f t="shared" si="3"/>
        <v>Standard Merchant Day</v>
      </c>
    </row>
    <row r="93">
      <c r="A93" s="1" t="s">
        <v>663</v>
      </c>
      <c r="B93" s="1">
        <v>231.0</v>
      </c>
      <c r="C93" s="1">
        <v>29.0</v>
      </c>
      <c r="D93" s="3">
        <v>46047.683333333334</v>
      </c>
      <c r="E93" s="1">
        <v>299.0</v>
      </c>
      <c r="F93" s="1" t="s">
        <v>35</v>
      </c>
      <c r="G93" s="1" t="s">
        <v>27</v>
      </c>
      <c r="H93" s="1">
        <v>38.0</v>
      </c>
      <c r="I93" s="4" t="str">
        <f>IFERROR(VLOOKUP(C93,Merchants!$A$2:$D$41,2,FALSE),"Merchant not found")</f>
        <v>Merchant_029</v>
      </c>
      <c r="J93" s="4" t="str">
        <f>IFERROR(VLOOKUP(C93,Merchants!$A$2:$D$41,3,FALSE),"Merchant not found")</f>
        <v>ecommerce</v>
      </c>
      <c r="K93" s="4" t="str">
        <f>IFERROR(VLOOKUP(C93,Merchants!$A$2:$D$41,4,FALSE),"Merchant not found")</f>
        <v>North</v>
      </c>
      <c r="L93" s="4">
        <f>IFERROR(HLOOKUP(F93,Fee_Lookup!$B$1:$E$2,2,FALSE),"Fee not found")</f>
        <v>0</v>
      </c>
      <c r="M93" s="5">
        <f t="shared" si="1"/>
        <v>46047</v>
      </c>
      <c r="N93" s="4" t="str">
        <f t="shared" si="2"/>
        <v>29|2026-01-25</v>
      </c>
      <c r="O93" s="4">
        <f>IFERROR(VLOOKUP(N93,Merchant_Daily!$A:$B,2,FALSE),0)</f>
        <v>3896</v>
      </c>
      <c r="P93" s="4" t="str">
        <f t="shared" si="3"/>
        <v>Standard Merchant Day</v>
      </c>
    </row>
    <row r="94">
      <c r="A94" s="1" t="s">
        <v>664</v>
      </c>
      <c r="B94" s="1">
        <v>157.0</v>
      </c>
      <c r="C94" s="1">
        <v>37.0</v>
      </c>
      <c r="D94" s="3">
        <v>46050.76875</v>
      </c>
      <c r="E94" s="1">
        <v>499.0</v>
      </c>
      <c r="F94" s="1" t="s">
        <v>26</v>
      </c>
      <c r="G94" s="1" t="s">
        <v>27</v>
      </c>
      <c r="H94" s="1">
        <v>79.0</v>
      </c>
      <c r="I94" s="4" t="str">
        <f>IFERROR(VLOOKUP(C94,Merchants!$A$2:$D$41,2,FALSE),"Merchant not found")</f>
        <v>Merchant_037</v>
      </c>
      <c r="J94" s="4" t="str">
        <f>IFERROR(VLOOKUP(C94,Merchants!$A$2:$D$41,3,FALSE),"Merchant not found")</f>
        <v>entertainment</v>
      </c>
      <c r="K94" s="4" t="str">
        <f>IFERROR(VLOOKUP(C94,Merchants!$A$2:$D$41,4,FALSE),"Merchant not found")</f>
        <v>South</v>
      </c>
      <c r="L94" s="4">
        <f>IFERROR(HLOOKUP(F94,Fee_Lookup!$B$1:$E$2,2,FALSE),"Fee not found")</f>
        <v>0.005</v>
      </c>
      <c r="M94" s="5">
        <f t="shared" si="1"/>
        <v>46050</v>
      </c>
      <c r="N94" s="4" t="str">
        <f t="shared" si="2"/>
        <v>37|2026-01-28</v>
      </c>
      <c r="O94" s="4">
        <f>IFERROR(VLOOKUP(N94,Merchant_Daily!$A:$B,2,FALSE),0)</f>
        <v>697</v>
      </c>
      <c r="P94" s="4" t="str">
        <f t="shared" si="3"/>
        <v>Standard Merchant Day</v>
      </c>
    </row>
    <row r="95">
      <c r="A95" s="1" t="s">
        <v>665</v>
      </c>
      <c r="B95" s="1">
        <v>51.0</v>
      </c>
      <c r="C95" s="1">
        <v>14.0</v>
      </c>
      <c r="D95" s="3">
        <v>46024.82430555556</v>
      </c>
      <c r="E95" s="1">
        <v>1499.0</v>
      </c>
      <c r="F95" s="1" t="s">
        <v>35</v>
      </c>
      <c r="G95" s="1" t="s">
        <v>27</v>
      </c>
      <c r="H95" s="1">
        <v>80.0</v>
      </c>
      <c r="I95" s="4" t="str">
        <f>IFERROR(VLOOKUP(C95,Merchants!$A$2:$D$41,2,FALSE),"Merchant not found")</f>
        <v>Merchant_014</v>
      </c>
      <c r="J95" s="4" t="str">
        <f>IFERROR(VLOOKUP(C95,Merchants!$A$2:$D$41,3,FALSE),"Merchant not found")</f>
        <v>grocery</v>
      </c>
      <c r="K95" s="4" t="str">
        <f>IFERROR(VLOOKUP(C95,Merchants!$A$2:$D$41,4,FALSE),"Merchant not found")</f>
        <v>East</v>
      </c>
      <c r="L95" s="4">
        <f>IFERROR(HLOOKUP(F95,Fee_Lookup!$B$1:$E$2,2,FALSE),"Fee not found")</f>
        <v>0</v>
      </c>
      <c r="M95" s="5">
        <f t="shared" si="1"/>
        <v>46024</v>
      </c>
      <c r="N95" s="4" t="str">
        <f t="shared" si="2"/>
        <v>14|2026-01-02</v>
      </c>
      <c r="O95" s="4">
        <f>IFERROR(VLOOKUP(N95,Merchant_Daily!$A:$B,2,FALSE),0)</f>
        <v>1499</v>
      </c>
      <c r="P95" s="4" t="str">
        <f t="shared" si="3"/>
        <v>Standard Merchant Day</v>
      </c>
    </row>
    <row r="96">
      <c r="A96" s="1" t="s">
        <v>666</v>
      </c>
      <c r="B96" s="1">
        <v>42.0</v>
      </c>
      <c r="C96" s="1">
        <v>11.0</v>
      </c>
      <c r="D96" s="3">
        <v>46029.3625</v>
      </c>
      <c r="E96" s="1">
        <v>49.0</v>
      </c>
      <c r="F96" s="1" t="s">
        <v>26</v>
      </c>
      <c r="G96" s="1" t="s">
        <v>27</v>
      </c>
      <c r="H96" s="1">
        <v>30.0</v>
      </c>
      <c r="I96" s="4" t="str">
        <f>IFERROR(VLOOKUP(C96,Merchants!$A$2:$D$41,2,FALSE),"Merchant not found")</f>
        <v>Merchant_011</v>
      </c>
      <c r="J96" s="4" t="str">
        <f>IFERROR(VLOOKUP(C96,Merchants!$A$2:$D$41,3,FALSE),"Merchant not found")</f>
        <v>ecommerce</v>
      </c>
      <c r="K96" s="4" t="str">
        <f>IFERROR(VLOOKUP(C96,Merchants!$A$2:$D$41,4,FALSE),"Merchant not found")</f>
        <v>North</v>
      </c>
      <c r="L96" s="4">
        <f>IFERROR(HLOOKUP(F96,Fee_Lookup!$B$1:$E$2,2,FALSE),"Fee not found")</f>
        <v>0.005</v>
      </c>
      <c r="M96" s="5">
        <f t="shared" si="1"/>
        <v>46029</v>
      </c>
      <c r="N96" s="4" t="str">
        <f t="shared" si="2"/>
        <v>11|2026-01-07</v>
      </c>
      <c r="O96" s="4">
        <f>IFERROR(VLOOKUP(N96,Merchant_Daily!$A:$B,2,FALSE),0)</f>
        <v>49</v>
      </c>
      <c r="P96" s="4" t="str">
        <f t="shared" si="3"/>
        <v>Standard Merchant Day</v>
      </c>
    </row>
    <row r="97">
      <c r="A97" s="1" t="s">
        <v>667</v>
      </c>
      <c r="B97" s="1">
        <v>81.0</v>
      </c>
      <c r="C97" s="1">
        <v>1.0</v>
      </c>
      <c r="D97" s="3">
        <v>46028.71111111111</v>
      </c>
      <c r="E97" s="1">
        <v>149.0</v>
      </c>
      <c r="F97" s="1" t="s">
        <v>35</v>
      </c>
      <c r="G97" s="1" t="s">
        <v>27</v>
      </c>
      <c r="H97" s="1">
        <v>52.0</v>
      </c>
      <c r="I97" s="4" t="str">
        <f>IFERROR(VLOOKUP(C97,Merchants!$A$2:$D$41,2,FALSE),"Merchant not found")</f>
        <v>Merchant_001</v>
      </c>
      <c r="J97" s="4" t="str">
        <f>IFERROR(VLOOKUP(C97,Merchants!$A$2:$D$41,3,FALSE),"Merchant not found")</f>
        <v>ecommerce</v>
      </c>
      <c r="K97" s="4" t="str">
        <f>IFERROR(VLOOKUP(C97,Merchants!$A$2:$D$41,4,FALSE),"Merchant not found")</f>
        <v>South</v>
      </c>
      <c r="L97" s="4">
        <f>IFERROR(HLOOKUP(F97,Fee_Lookup!$B$1:$E$2,2,FALSE),"Fee not found")</f>
        <v>0</v>
      </c>
      <c r="M97" s="5">
        <f t="shared" si="1"/>
        <v>46028</v>
      </c>
      <c r="N97" s="4" t="str">
        <f t="shared" si="2"/>
        <v>1|2026-01-06</v>
      </c>
      <c r="O97" s="4">
        <f>IFERROR(VLOOKUP(N97,Merchant_Daily!$A:$B,2,FALSE),0)</f>
        <v>149</v>
      </c>
      <c r="P97" s="4" t="str">
        <f t="shared" si="3"/>
        <v>Standard Merchant Day</v>
      </c>
    </row>
    <row r="98">
      <c r="A98" s="1" t="s">
        <v>668</v>
      </c>
      <c r="B98" s="1">
        <v>241.0</v>
      </c>
      <c r="C98" s="1">
        <v>19.0</v>
      </c>
      <c r="D98" s="3">
        <v>46037.94305555556</v>
      </c>
      <c r="E98" s="1">
        <v>299.0</v>
      </c>
      <c r="F98" s="1" t="s">
        <v>35</v>
      </c>
      <c r="G98" s="1" t="s">
        <v>27</v>
      </c>
      <c r="H98" s="1">
        <v>4.0</v>
      </c>
      <c r="I98" s="4" t="str">
        <f>IFERROR(VLOOKUP(C98,Merchants!$A$2:$D$41,2,FALSE),"Merchant not found")</f>
        <v>Merchant_019</v>
      </c>
      <c r="J98" s="4" t="str">
        <f>IFERROR(VLOOKUP(C98,Merchants!$A$2:$D$41,3,FALSE),"Merchant not found")</f>
        <v>grocery</v>
      </c>
      <c r="K98" s="4" t="str">
        <f>IFERROR(VLOOKUP(C98,Merchants!$A$2:$D$41,4,FALSE),"Merchant not found")</f>
        <v>North</v>
      </c>
      <c r="L98" s="4">
        <f>IFERROR(HLOOKUP(F98,Fee_Lookup!$B$1:$E$2,2,FALSE),"Fee not found")</f>
        <v>0</v>
      </c>
      <c r="M98" s="5">
        <f t="shared" si="1"/>
        <v>46037</v>
      </c>
      <c r="N98" s="4" t="str">
        <f t="shared" si="2"/>
        <v>19|2026-01-15</v>
      </c>
      <c r="O98" s="4">
        <f>IFERROR(VLOOKUP(N98,Merchant_Daily!$A:$B,2,FALSE),0)</f>
        <v>398</v>
      </c>
      <c r="P98" s="4" t="str">
        <f t="shared" si="3"/>
        <v>Standard Merchant Day</v>
      </c>
    </row>
    <row r="99">
      <c r="A99" s="1" t="s">
        <v>669</v>
      </c>
      <c r="B99" s="1">
        <v>145.0</v>
      </c>
      <c r="C99" s="1">
        <v>30.0</v>
      </c>
      <c r="D99" s="3">
        <v>46030.40625</v>
      </c>
      <c r="E99" s="1">
        <v>799.0</v>
      </c>
      <c r="F99" s="1" t="s">
        <v>35</v>
      </c>
      <c r="G99" s="1" t="s">
        <v>27</v>
      </c>
      <c r="H99" s="1">
        <v>9.0</v>
      </c>
      <c r="I99" s="4" t="str">
        <f>IFERROR(VLOOKUP(C99,Merchants!$A$2:$D$41,2,FALSE),"Merchant not found")</f>
        <v>Merchant_030</v>
      </c>
      <c r="J99" s="4" t="str">
        <f>IFERROR(VLOOKUP(C99,Merchants!$A$2:$D$41,3,FALSE),"Merchant not found")</f>
        <v>travel</v>
      </c>
      <c r="K99" s="4" t="str">
        <f>IFERROR(VLOOKUP(C99,Merchants!$A$2:$D$41,4,FALSE),"Merchant not found")</f>
        <v>West</v>
      </c>
      <c r="L99" s="4">
        <f>IFERROR(HLOOKUP(F99,Fee_Lookup!$B$1:$E$2,2,FALSE),"Fee not found")</f>
        <v>0</v>
      </c>
      <c r="M99" s="5">
        <f t="shared" si="1"/>
        <v>46030</v>
      </c>
      <c r="N99" s="4" t="str">
        <f t="shared" si="2"/>
        <v>30|2026-01-08</v>
      </c>
      <c r="O99" s="4">
        <f>IFERROR(VLOOKUP(N99,Merchant_Daily!$A:$B,2,FALSE),0)</f>
        <v>1197</v>
      </c>
      <c r="P99" s="4" t="str">
        <f t="shared" si="3"/>
        <v>Standard Merchant Day</v>
      </c>
    </row>
    <row r="100">
      <c r="A100" s="1" t="s">
        <v>670</v>
      </c>
      <c r="B100" s="1">
        <v>136.0</v>
      </c>
      <c r="C100" s="1">
        <v>38.0</v>
      </c>
      <c r="D100" s="3">
        <v>46044.33263888889</v>
      </c>
      <c r="E100" s="1">
        <v>299.0</v>
      </c>
      <c r="F100" s="1" t="s">
        <v>46</v>
      </c>
      <c r="G100" s="1" t="s">
        <v>27</v>
      </c>
      <c r="H100" s="1">
        <v>84.0</v>
      </c>
      <c r="I100" s="4" t="str">
        <f>IFERROR(VLOOKUP(C100,Merchants!$A$2:$D$41,2,FALSE),"Merchant not found")</f>
        <v>Merchant_038</v>
      </c>
      <c r="J100" s="4" t="str">
        <f>IFERROR(VLOOKUP(C100,Merchants!$A$2:$D$41,3,FALSE),"Merchant not found")</f>
        <v>grocery</v>
      </c>
      <c r="K100" s="4" t="str">
        <f>IFERROR(VLOOKUP(C100,Merchants!$A$2:$D$41,4,FALSE),"Merchant not found")</f>
        <v>East</v>
      </c>
      <c r="L100" s="4">
        <f>IFERROR(HLOOKUP(F100,Fee_Lookup!$B$1:$E$2,2,FALSE),"Fee not found")</f>
        <v>0.01</v>
      </c>
      <c r="M100" s="5">
        <f t="shared" si="1"/>
        <v>46044</v>
      </c>
      <c r="N100" s="4" t="str">
        <f t="shared" si="2"/>
        <v>38|2026-01-22</v>
      </c>
      <c r="O100" s="4">
        <f>IFERROR(VLOOKUP(N100,Merchant_Daily!$A:$B,2,FALSE),0)</f>
        <v>299</v>
      </c>
      <c r="P100" s="4" t="str">
        <f t="shared" si="3"/>
        <v>Standard Merchant Day</v>
      </c>
    </row>
    <row r="101">
      <c r="A101" s="1" t="s">
        <v>671</v>
      </c>
      <c r="B101" s="1">
        <v>59.0</v>
      </c>
      <c r="C101" s="1">
        <v>35.0</v>
      </c>
      <c r="D101" s="3">
        <v>46048.26875</v>
      </c>
      <c r="E101" s="1">
        <v>499.0</v>
      </c>
      <c r="F101" s="1" t="s">
        <v>35</v>
      </c>
      <c r="G101" s="1" t="s">
        <v>27</v>
      </c>
      <c r="H101" s="1">
        <v>28.0</v>
      </c>
      <c r="I101" s="4" t="str">
        <f>IFERROR(VLOOKUP(C101,Merchants!$A$2:$D$41,2,FALSE),"Merchant not found")</f>
        <v>Merchant_035</v>
      </c>
      <c r="J101" s="4" t="str">
        <f>IFERROR(VLOOKUP(C101,Merchants!$A$2:$D$41,3,FALSE),"Merchant not found")</f>
        <v>recharge</v>
      </c>
      <c r="K101" s="4" t="str">
        <f>IFERROR(VLOOKUP(C101,Merchants!$A$2:$D$41,4,FALSE),"Merchant not found")</f>
        <v>East</v>
      </c>
      <c r="L101" s="4">
        <f>IFERROR(HLOOKUP(F101,Fee_Lookup!$B$1:$E$2,2,FALSE),"Fee not found")</f>
        <v>0</v>
      </c>
      <c r="M101" s="5">
        <f t="shared" si="1"/>
        <v>46048</v>
      </c>
      <c r="N101" s="4" t="str">
        <f t="shared" si="2"/>
        <v>35|2026-01-26</v>
      </c>
      <c r="O101" s="4">
        <f>IFERROR(VLOOKUP(N101,Merchant_Daily!$A:$B,2,FALSE),0)</f>
        <v>499</v>
      </c>
      <c r="P101" s="4" t="str">
        <f t="shared" si="3"/>
        <v>Standard Merchant Day</v>
      </c>
    </row>
    <row r="102">
      <c r="A102" s="1" t="s">
        <v>672</v>
      </c>
      <c r="B102" s="1">
        <v>137.0</v>
      </c>
      <c r="C102" s="1">
        <v>10.0</v>
      </c>
      <c r="D102" s="3">
        <v>46043.20694444444</v>
      </c>
      <c r="E102" s="1">
        <v>299.0</v>
      </c>
      <c r="F102" s="1" t="s">
        <v>35</v>
      </c>
      <c r="G102" s="1" t="s">
        <v>27</v>
      </c>
      <c r="H102" s="1">
        <v>9.0</v>
      </c>
      <c r="I102" s="4" t="str">
        <f>IFERROR(VLOOKUP(C102,Merchants!$A$2:$D$41,2,FALSE),"Merchant not found")</f>
        <v>Merchant_010</v>
      </c>
      <c r="J102" s="4" t="str">
        <f>IFERROR(VLOOKUP(C102,Merchants!$A$2:$D$41,3,FALSE),"Merchant not found")</f>
        <v>grocery</v>
      </c>
      <c r="K102" s="4" t="str">
        <f>IFERROR(VLOOKUP(C102,Merchants!$A$2:$D$41,4,FALSE),"Merchant not found")</f>
        <v>West</v>
      </c>
      <c r="L102" s="4">
        <f>IFERROR(HLOOKUP(F102,Fee_Lookup!$B$1:$E$2,2,FALSE),"Fee not found")</f>
        <v>0</v>
      </c>
      <c r="M102" s="5">
        <f t="shared" si="1"/>
        <v>46043</v>
      </c>
      <c r="N102" s="4" t="str">
        <f t="shared" si="2"/>
        <v>10|2026-01-21</v>
      </c>
      <c r="O102" s="4">
        <f>IFERROR(VLOOKUP(N102,Merchant_Daily!$A:$B,2,FALSE),0)</f>
        <v>398</v>
      </c>
      <c r="P102" s="4" t="str">
        <f t="shared" si="3"/>
        <v>Standard Merchant Day</v>
      </c>
    </row>
    <row r="103">
      <c r="A103" s="1" t="s">
        <v>673</v>
      </c>
      <c r="B103" s="1">
        <v>158.0</v>
      </c>
      <c r="C103" s="1">
        <v>39.0</v>
      </c>
      <c r="D103" s="3">
        <v>46024.243055555555</v>
      </c>
      <c r="E103" s="1">
        <v>499.0</v>
      </c>
      <c r="F103" s="1" t="s">
        <v>47</v>
      </c>
      <c r="G103" s="1" t="s">
        <v>27</v>
      </c>
      <c r="H103" s="1">
        <v>95.0</v>
      </c>
      <c r="I103" s="4" t="str">
        <f>IFERROR(VLOOKUP(C103,Merchants!$A$2:$D$41,2,FALSE),"Merchant not found")</f>
        <v>Merchant_039</v>
      </c>
      <c r="J103" s="4" t="str">
        <f>IFERROR(VLOOKUP(C103,Merchants!$A$2:$D$41,3,FALSE),"Merchant not found")</f>
        <v>entertainment</v>
      </c>
      <c r="K103" s="4" t="str">
        <f>IFERROR(VLOOKUP(C103,Merchants!$A$2:$D$41,4,FALSE),"Merchant not found")</f>
        <v>North</v>
      </c>
      <c r="L103" s="4">
        <f>IFERROR(HLOOKUP(F103,Fee_Lookup!$B$1:$E$2,2,FALSE),"Fee not found")</f>
        <v>0.015</v>
      </c>
      <c r="M103" s="5">
        <f t="shared" si="1"/>
        <v>46024</v>
      </c>
      <c r="N103" s="4" t="str">
        <f t="shared" si="2"/>
        <v>39|2026-01-02</v>
      </c>
      <c r="O103" s="4">
        <f>IFERROR(VLOOKUP(N103,Merchant_Daily!$A:$B,2,FALSE),0)</f>
        <v>499</v>
      </c>
      <c r="P103" s="4" t="str">
        <f t="shared" si="3"/>
        <v>Standard Merchant Day</v>
      </c>
    </row>
    <row r="104">
      <c r="A104" s="1" t="s">
        <v>674</v>
      </c>
      <c r="B104" s="1">
        <v>148.0</v>
      </c>
      <c r="C104" s="1">
        <v>29.0</v>
      </c>
      <c r="D104" s="3">
        <v>46049.79027777778</v>
      </c>
      <c r="E104" s="1">
        <v>99.0</v>
      </c>
      <c r="F104" s="1" t="s">
        <v>46</v>
      </c>
      <c r="G104" s="1" t="s">
        <v>27</v>
      </c>
      <c r="H104" s="1">
        <v>15.0</v>
      </c>
      <c r="I104" s="4" t="str">
        <f>IFERROR(VLOOKUP(C104,Merchants!$A$2:$D$41,2,FALSE),"Merchant not found")</f>
        <v>Merchant_029</v>
      </c>
      <c r="J104" s="4" t="str">
        <f>IFERROR(VLOOKUP(C104,Merchants!$A$2:$D$41,3,FALSE),"Merchant not found")</f>
        <v>ecommerce</v>
      </c>
      <c r="K104" s="4" t="str">
        <f>IFERROR(VLOOKUP(C104,Merchants!$A$2:$D$41,4,FALSE),"Merchant not found")</f>
        <v>North</v>
      </c>
      <c r="L104" s="4">
        <f>IFERROR(HLOOKUP(F104,Fee_Lookup!$B$1:$E$2,2,FALSE),"Fee not found")</f>
        <v>0.01</v>
      </c>
      <c r="M104" s="5">
        <f t="shared" si="1"/>
        <v>46049</v>
      </c>
      <c r="N104" s="4" t="str">
        <f t="shared" si="2"/>
        <v>29|2026-01-27</v>
      </c>
      <c r="O104" s="4">
        <f>IFERROR(VLOOKUP(N104,Merchant_Daily!$A:$B,2,FALSE),0)</f>
        <v>898</v>
      </c>
      <c r="P104" s="4" t="str">
        <f t="shared" si="3"/>
        <v>Standard Merchant Day</v>
      </c>
    </row>
    <row r="105">
      <c r="A105" s="1" t="s">
        <v>675</v>
      </c>
      <c r="B105" s="1">
        <v>207.0</v>
      </c>
      <c r="C105" s="1">
        <v>18.0</v>
      </c>
      <c r="D105" s="3">
        <v>46037.92986111111</v>
      </c>
      <c r="E105" s="1">
        <v>149.0</v>
      </c>
      <c r="F105" s="1" t="s">
        <v>35</v>
      </c>
      <c r="G105" s="1" t="s">
        <v>27</v>
      </c>
      <c r="H105" s="1">
        <v>64.0</v>
      </c>
      <c r="I105" s="4" t="str">
        <f>IFERROR(VLOOKUP(C105,Merchants!$A$2:$D$41,2,FALSE),"Merchant not found")</f>
        <v>Merchant_018</v>
      </c>
      <c r="J105" s="4" t="str">
        <f>IFERROR(VLOOKUP(C105,Merchants!$A$2:$D$41,3,FALSE),"Merchant not found")</f>
        <v>grocery</v>
      </c>
      <c r="K105" s="4" t="str">
        <f>IFERROR(VLOOKUP(C105,Merchants!$A$2:$D$41,4,FALSE),"Merchant not found")</f>
        <v>West</v>
      </c>
      <c r="L105" s="4">
        <f>IFERROR(HLOOKUP(F105,Fee_Lookup!$B$1:$E$2,2,FALSE),"Fee not found")</f>
        <v>0</v>
      </c>
      <c r="M105" s="5">
        <f t="shared" si="1"/>
        <v>46037</v>
      </c>
      <c r="N105" s="4" t="str">
        <f t="shared" si="2"/>
        <v>18|2026-01-15</v>
      </c>
      <c r="O105" s="4">
        <f>IFERROR(VLOOKUP(N105,Merchant_Daily!$A:$B,2,FALSE),0)</f>
        <v>149</v>
      </c>
      <c r="P105" s="4" t="str">
        <f t="shared" si="3"/>
        <v>Standard Merchant Day</v>
      </c>
    </row>
    <row r="106">
      <c r="A106" s="1" t="s">
        <v>676</v>
      </c>
      <c r="B106" s="1">
        <v>42.0</v>
      </c>
      <c r="C106" s="1">
        <v>39.0</v>
      </c>
      <c r="D106" s="3">
        <v>46040.64444444444</v>
      </c>
      <c r="E106" s="1">
        <v>2999.0</v>
      </c>
      <c r="F106" s="1" t="s">
        <v>46</v>
      </c>
      <c r="G106" s="1" t="s">
        <v>27</v>
      </c>
      <c r="H106" s="1">
        <v>5.0</v>
      </c>
      <c r="I106" s="4" t="str">
        <f>IFERROR(VLOOKUP(C106,Merchants!$A$2:$D$41,2,FALSE),"Merchant not found")</f>
        <v>Merchant_039</v>
      </c>
      <c r="J106" s="4" t="str">
        <f>IFERROR(VLOOKUP(C106,Merchants!$A$2:$D$41,3,FALSE),"Merchant not found")</f>
        <v>entertainment</v>
      </c>
      <c r="K106" s="4" t="str">
        <f>IFERROR(VLOOKUP(C106,Merchants!$A$2:$D$41,4,FALSE),"Merchant not found")</f>
        <v>North</v>
      </c>
      <c r="L106" s="4">
        <f>IFERROR(HLOOKUP(F106,Fee_Lookup!$B$1:$E$2,2,FALSE),"Fee not found")</f>
        <v>0.01</v>
      </c>
      <c r="M106" s="5">
        <f t="shared" si="1"/>
        <v>46040</v>
      </c>
      <c r="N106" s="4" t="str">
        <f t="shared" si="2"/>
        <v>39|2026-01-18</v>
      </c>
      <c r="O106" s="4">
        <f>IFERROR(VLOOKUP(N106,Merchant_Daily!$A:$B,2,FALSE),0)</f>
        <v>2999</v>
      </c>
      <c r="P106" s="4" t="str">
        <f t="shared" si="3"/>
        <v>Standard Merchant Day</v>
      </c>
    </row>
    <row r="107">
      <c r="A107" s="1" t="s">
        <v>677</v>
      </c>
      <c r="B107" s="1">
        <v>166.0</v>
      </c>
      <c r="C107" s="1">
        <v>39.0</v>
      </c>
      <c r="D107" s="3">
        <v>46051.57430555556</v>
      </c>
      <c r="E107" s="1">
        <v>149.0</v>
      </c>
      <c r="F107" s="1" t="s">
        <v>35</v>
      </c>
      <c r="G107" s="1" t="s">
        <v>27</v>
      </c>
      <c r="H107" s="1">
        <v>32.0</v>
      </c>
      <c r="I107" s="4" t="str">
        <f>IFERROR(VLOOKUP(C107,Merchants!$A$2:$D$41,2,FALSE),"Merchant not found")</f>
        <v>Merchant_039</v>
      </c>
      <c r="J107" s="4" t="str">
        <f>IFERROR(VLOOKUP(C107,Merchants!$A$2:$D$41,3,FALSE),"Merchant not found")</f>
        <v>entertainment</v>
      </c>
      <c r="K107" s="4" t="str">
        <f>IFERROR(VLOOKUP(C107,Merchants!$A$2:$D$41,4,FALSE),"Merchant not found")</f>
        <v>North</v>
      </c>
      <c r="L107" s="4">
        <f>IFERROR(HLOOKUP(F107,Fee_Lookup!$B$1:$E$2,2,FALSE),"Fee not found")</f>
        <v>0</v>
      </c>
      <c r="M107" s="5">
        <f t="shared" si="1"/>
        <v>46051</v>
      </c>
      <c r="N107" s="4" t="str">
        <f t="shared" si="2"/>
        <v>39|2026-01-29</v>
      </c>
      <c r="O107" s="4">
        <f>IFERROR(VLOOKUP(N107,Merchant_Daily!$A:$B,2,FALSE),0)</f>
        <v>149</v>
      </c>
      <c r="P107" s="4" t="str">
        <f t="shared" si="3"/>
        <v>Standard Merchant Day</v>
      </c>
    </row>
    <row r="108">
      <c r="A108" s="1" t="s">
        <v>678</v>
      </c>
      <c r="B108" s="1">
        <v>346.0</v>
      </c>
      <c r="C108" s="1">
        <v>37.0</v>
      </c>
      <c r="D108" s="3">
        <v>46023.09305555555</v>
      </c>
      <c r="E108" s="1">
        <v>99.0</v>
      </c>
      <c r="F108" s="1" t="s">
        <v>35</v>
      </c>
      <c r="G108" s="1" t="s">
        <v>27</v>
      </c>
      <c r="H108" s="1">
        <v>75.0</v>
      </c>
      <c r="I108" s="4" t="str">
        <f>IFERROR(VLOOKUP(C108,Merchants!$A$2:$D$41,2,FALSE),"Merchant not found")</f>
        <v>Merchant_037</v>
      </c>
      <c r="J108" s="4" t="str">
        <f>IFERROR(VLOOKUP(C108,Merchants!$A$2:$D$41,3,FALSE),"Merchant not found")</f>
        <v>entertainment</v>
      </c>
      <c r="K108" s="4" t="str">
        <f>IFERROR(VLOOKUP(C108,Merchants!$A$2:$D$41,4,FALSE),"Merchant not found")</f>
        <v>South</v>
      </c>
      <c r="L108" s="4">
        <f>IFERROR(HLOOKUP(F108,Fee_Lookup!$B$1:$E$2,2,FALSE),"Fee not found")</f>
        <v>0</v>
      </c>
      <c r="M108" s="5">
        <f t="shared" si="1"/>
        <v>46023</v>
      </c>
      <c r="N108" s="4" t="str">
        <f t="shared" si="2"/>
        <v>37|2026-01-01</v>
      </c>
      <c r="O108" s="4">
        <f>IFERROR(VLOOKUP(N108,Merchant_Daily!$A:$B,2,FALSE),0)</f>
        <v>598</v>
      </c>
      <c r="P108" s="4" t="str">
        <f t="shared" si="3"/>
        <v>Standard Merchant Day</v>
      </c>
    </row>
    <row r="109">
      <c r="A109" s="1" t="s">
        <v>679</v>
      </c>
      <c r="B109" s="1">
        <v>138.0</v>
      </c>
      <c r="C109" s="1">
        <v>37.0</v>
      </c>
      <c r="D109" s="3">
        <v>46023.91111111111</v>
      </c>
      <c r="E109" s="1">
        <v>499.0</v>
      </c>
      <c r="F109" s="1" t="s">
        <v>35</v>
      </c>
      <c r="G109" s="1" t="s">
        <v>27</v>
      </c>
      <c r="H109" s="1">
        <v>5.0</v>
      </c>
      <c r="I109" s="4" t="str">
        <f>IFERROR(VLOOKUP(C109,Merchants!$A$2:$D$41,2,FALSE),"Merchant not found")</f>
        <v>Merchant_037</v>
      </c>
      <c r="J109" s="4" t="str">
        <f>IFERROR(VLOOKUP(C109,Merchants!$A$2:$D$41,3,FALSE),"Merchant not found")</f>
        <v>entertainment</v>
      </c>
      <c r="K109" s="4" t="str">
        <f>IFERROR(VLOOKUP(C109,Merchants!$A$2:$D$41,4,FALSE),"Merchant not found")</f>
        <v>South</v>
      </c>
      <c r="L109" s="4">
        <f>IFERROR(HLOOKUP(F109,Fee_Lookup!$B$1:$E$2,2,FALSE),"Fee not found")</f>
        <v>0</v>
      </c>
      <c r="M109" s="5">
        <f t="shared" si="1"/>
        <v>46023</v>
      </c>
      <c r="N109" s="4" t="str">
        <f t="shared" si="2"/>
        <v>37|2026-01-01</v>
      </c>
      <c r="O109" s="4">
        <f>IFERROR(VLOOKUP(N109,Merchant_Daily!$A:$B,2,FALSE),0)</f>
        <v>598</v>
      </c>
      <c r="P109" s="4" t="str">
        <f t="shared" si="3"/>
        <v>Standard Merchant Day</v>
      </c>
    </row>
    <row r="110">
      <c r="A110" s="1" t="s">
        <v>680</v>
      </c>
      <c r="B110" s="1">
        <v>266.0</v>
      </c>
      <c r="C110" s="1">
        <v>29.0</v>
      </c>
      <c r="D110" s="3">
        <v>46047.229166666664</v>
      </c>
      <c r="E110" s="1">
        <v>499.0</v>
      </c>
      <c r="F110" s="1" t="s">
        <v>26</v>
      </c>
      <c r="G110" s="1" t="s">
        <v>30</v>
      </c>
      <c r="H110" s="1">
        <v>35.0</v>
      </c>
      <c r="I110" s="4" t="str">
        <f>IFERROR(VLOOKUP(C110,Merchants!$A$2:$D$41,2,FALSE),"Merchant not found")</f>
        <v>Merchant_029</v>
      </c>
      <c r="J110" s="4" t="str">
        <f>IFERROR(VLOOKUP(C110,Merchants!$A$2:$D$41,3,FALSE),"Merchant not found")</f>
        <v>ecommerce</v>
      </c>
      <c r="K110" s="4" t="str">
        <f>IFERROR(VLOOKUP(C110,Merchants!$A$2:$D$41,4,FALSE),"Merchant not found")</f>
        <v>North</v>
      </c>
      <c r="L110" s="4">
        <f>IFERROR(HLOOKUP(F110,Fee_Lookup!$B$1:$E$2,2,FALSE),"Fee not found")</f>
        <v>0.005</v>
      </c>
      <c r="M110" s="5">
        <f t="shared" si="1"/>
        <v>46047</v>
      </c>
      <c r="N110" s="4" t="str">
        <f t="shared" si="2"/>
        <v>29|2026-01-25</v>
      </c>
      <c r="O110" s="4">
        <f>IFERROR(VLOOKUP(N110,Merchant_Daily!$A:$B,2,FALSE),0)</f>
        <v>3896</v>
      </c>
      <c r="P110" s="4" t="str">
        <f t="shared" si="3"/>
        <v>Standard Merchant Day</v>
      </c>
    </row>
    <row r="111">
      <c r="A111" s="1" t="s">
        <v>681</v>
      </c>
      <c r="B111" s="1">
        <v>326.0</v>
      </c>
      <c r="C111" s="1">
        <v>32.0</v>
      </c>
      <c r="D111" s="3">
        <v>46028.76875</v>
      </c>
      <c r="E111" s="1">
        <v>149.0</v>
      </c>
      <c r="F111" s="1" t="s">
        <v>35</v>
      </c>
      <c r="G111" s="1" t="s">
        <v>27</v>
      </c>
      <c r="H111" s="1">
        <v>11.0</v>
      </c>
      <c r="I111" s="4" t="str">
        <f>IFERROR(VLOOKUP(C111,Merchants!$A$2:$D$41,2,FALSE),"Merchant not found")</f>
        <v>Merchant_032</v>
      </c>
      <c r="J111" s="4" t="str">
        <f>IFERROR(VLOOKUP(C111,Merchants!$A$2:$D$41,3,FALSE),"Merchant not found")</f>
        <v>food_delivery</v>
      </c>
      <c r="K111" s="4" t="str">
        <f>IFERROR(VLOOKUP(C111,Merchants!$A$2:$D$41,4,FALSE),"Merchant not found")</f>
        <v>West</v>
      </c>
      <c r="L111" s="4">
        <f>IFERROR(HLOOKUP(F111,Fee_Lookup!$B$1:$E$2,2,FALSE),"Fee not found")</f>
        <v>0</v>
      </c>
      <c r="M111" s="5">
        <f t="shared" si="1"/>
        <v>46028</v>
      </c>
      <c r="N111" s="4" t="str">
        <f t="shared" si="2"/>
        <v>32|2026-01-06</v>
      </c>
      <c r="O111" s="4">
        <f>IFERROR(VLOOKUP(N111,Merchant_Daily!$A:$B,2,FALSE),0)</f>
        <v>149</v>
      </c>
      <c r="P111" s="4" t="str">
        <f t="shared" si="3"/>
        <v>Standard Merchant Day</v>
      </c>
    </row>
    <row r="112">
      <c r="A112" s="1" t="s">
        <v>682</v>
      </c>
      <c r="B112" s="1">
        <v>171.0</v>
      </c>
      <c r="C112" s="1">
        <v>21.0</v>
      </c>
      <c r="D112" s="3">
        <v>46038.47638888889</v>
      </c>
      <c r="E112" s="1">
        <v>799.0</v>
      </c>
      <c r="F112" s="1" t="s">
        <v>35</v>
      </c>
      <c r="G112" s="1" t="s">
        <v>27</v>
      </c>
      <c r="H112" s="1">
        <v>85.0</v>
      </c>
      <c r="I112" s="4" t="str">
        <f>IFERROR(VLOOKUP(C112,Merchants!$A$2:$D$41,2,FALSE),"Merchant not found")</f>
        <v>Merchant_021</v>
      </c>
      <c r="J112" s="4" t="str">
        <f>IFERROR(VLOOKUP(C112,Merchants!$A$2:$D$41,3,FALSE),"Merchant not found")</f>
        <v>food_delivery</v>
      </c>
      <c r="K112" s="4" t="str">
        <f>IFERROR(VLOOKUP(C112,Merchants!$A$2:$D$41,4,FALSE),"Merchant not found")</f>
        <v>East</v>
      </c>
      <c r="L112" s="4">
        <f>IFERROR(HLOOKUP(F112,Fee_Lookup!$B$1:$E$2,2,FALSE),"Fee not found")</f>
        <v>0</v>
      </c>
      <c r="M112" s="5">
        <f t="shared" si="1"/>
        <v>46038</v>
      </c>
      <c r="N112" s="4" t="str">
        <f t="shared" si="2"/>
        <v>21|2026-01-16</v>
      </c>
      <c r="O112" s="4">
        <f>IFERROR(VLOOKUP(N112,Merchant_Daily!$A:$B,2,FALSE),0)</f>
        <v>799</v>
      </c>
      <c r="P112" s="4" t="str">
        <f t="shared" si="3"/>
        <v>Standard Merchant Day</v>
      </c>
    </row>
    <row r="113">
      <c r="A113" s="1" t="s">
        <v>683</v>
      </c>
      <c r="B113" s="1">
        <v>211.0</v>
      </c>
      <c r="C113" s="1">
        <v>32.0</v>
      </c>
      <c r="D113" s="3">
        <v>46026.222916666666</v>
      </c>
      <c r="E113" s="1">
        <v>49.0</v>
      </c>
      <c r="F113" s="1" t="s">
        <v>35</v>
      </c>
      <c r="G113" s="1" t="s">
        <v>27</v>
      </c>
      <c r="H113" s="1">
        <v>36.0</v>
      </c>
      <c r="I113" s="4" t="str">
        <f>IFERROR(VLOOKUP(C113,Merchants!$A$2:$D$41,2,FALSE),"Merchant not found")</f>
        <v>Merchant_032</v>
      </c>
      <c r="J113" s="4" t="str">
        <f>IFERROR(VLOOKUP(C113,Merchants!$A$2:$D$41,3,FALSE),"Merchant not found")</f>
        <v>food_delivery</v>
      </c>
      <c r="K113" s="4" t="str">
        <f>IFERROR(VLOOKUP(C113,Merchants!$A$2:$D$41,4,FALSE),"Merchant not found")</f>
        <v>West</v>
      </c>
      <c r="L113" s="4">
        <f>IFERROR(HLOOKUP(F113,Fee_Lookup!$B$1:$E$2,2,FALSE),"Fee not found")</f>
        <v>0</v>
      </c>
      <c r="M113" s="5">
        <f t="shared" si="1"/>
        <v>46026</v>
      </c>
      <c r="N113" s="4" t="str">
        <f t="shared" si="2"/>
        <v>32|2026-01-04</v>
      </c>
      <c r="O113" s="4">
        <f>IFERROR(VLOOKUP(N113,Merchant_Daily!$A:$B,2,FALSE),0)</f>
        <v>49</v>
      </c>
      <c r="P113" s="4" t="str">
        <f t="shared" si="3"/>
        <v>Standard Merchant Day</v>
      </c>
    </row>
    <row r="114">
      <c r="A114" s="1" t="s">
        <v>684</v>
      </c>
      <c r="B114" s="1">
        <v>282.0</v>
      </c>
      <c r="C114" s="1">
        <v>3.0</v>
      </c>
      <c r="D114" s="3">
        <v>46044.53611111111</v>
      </c>
      <c r="E114" s="1">
        <v>499.0</v>
      </c>
      <c r="F114" s="1" t="s">
        <v>35</v>
      </c>
      <c r="G114" s="1" t="s">
        <v>27</v>
      </c>
      <c r="H114" s="1">
        <v>58.0</v>
      </c>
      <c r="I114" s="4" t="str">
        <f>IFERROR(VLOOKUP(C114,Merchants!$A$2:$D$41,2,FALSE),"Merchant not found")</f>
        <v>Merchant_003</v>
      </c>
      <c r="J114" s="4" t="str">
        <f>IFERROR(VLOOKUP(C114,Merchants!$A$2:$D$41,3,FALSE),"Merchant not found")</f>
        <v>grocery</v>
      </c>
      <c r="K114" s="4" t="str">
        <f>IFERROR(VLOOKUP(C114,Merchants!$A$2:$D$41,4,FALSE),"Merchant not found")</f>
        <v>East</v>
      </c>
      <c r="L114" s="4">
        <f>IFERROR(HLOOKUP(F114,Fee_Lookup!$B$1:$E$2,2,FALSE),"Fee not found")</f>
        <v>0</v>
      </c>
      <c r="M114" s="5">
        <f t="shared" si="1"/>
        <v>46044</v>
      </c>
      <c r="N114" s="4" t="str">
        <f t="shared" si="2"/>
        <v>3|2026-01-22</v>
      </c>
      <c r="O114" s="4">
        <f>IFERROR(VLOOKUP(N114,Merchant_Daily!$A:$B,2,FALSE),0)</f>
        <v>499</v>
      </c>
      <c r="P114" s="4" t="str">
        <f t="shared" si="3"/>
        <v>Standard Merchant Day</v>
      </c>
    </row>
    <row r="115">
      <c r="A115" s="1" t="s">
        <v>685</v>
      </c>
      <c r="B115" s="1">
        <v>166.0</v>
      </c>
      <c r="C115" s="1">
        <v>8.0</v>
      </c>
      <c r="D115" s="3">
        <v>46025.427777777775</v>
      </c>
      <c r="E115" s="1">
        <v>299.0</v>
      </c>
      <c r="F115" s="1" t="s">
        <v>35</v>
      </c>
      <c r="G115" s="1" t="s">
        <v>27</v>
      </c>
      <c r="H115" s="1">
        <v>98.0</v>
      </c>
      <c r="I115" s="4" t="str">
        <f>IFERROR(VLOOKUP(C115,Merchants!$A$2:$D$41,2,FALSE),"Merchant not found")</f>
        <v>Merchant_008</v>
      </c>
      <c r="J115" s="4" t="str">
        <f>IFERROR(VLOOKUP(C115,Merchants!$A$2:$D$41,3,FALSE),"Merchant not found")</f>
        <v>food_delivery</v>
      </c>
      <c r="K115" s="4" t="str">
        <f>IFERROR(VLOOKUP(C115,Merchants!$A$2:$D$41,4,FALSE),"Merchant not found")</f>
        <v>North</v>
      </c>
      <c r="L115" s="4">
        <f>IFERROR(HLOOKUP(F115,Fee_Lookup!$B$1:$E$2,2,FALSE),"Fee not found")</f>
        <v>0</v>
      </c>
      <c r="M115" s="5">
        <f t="shared" si="1"/>
        <v>46025</v>
      </c>
      <c r="N115" s="4" t="str">
        <f t="shared" si="2"/>
        <v>8|2026-01-03</v>
      </c>
      <c r="O115" s="4">
        <f>IFERROR(VLOOKUP(N115,Merchant_Daily!$A:$B,2,FALSE),0)</f>
        <v>299</v>
      </c>
      <c r="P115" s="4" t="str">
        <f t="shared" si="3"/>
        <v>Standard Merchant Day</v>
      </c>
    </row>
    <row r="116">
      <c r="A116" s="1" t="s">
        <v>686</v>
      </c>
      <c r="B116" s="1">
        <v>1.0</v>
      </c>
      <c r="C116" s="1">
        <v>35.0</v>
      </c>
      <c r="D116" s="3">
        <v>46035.70277777778</v>
      </c>
      <c r="E116" s="1">
        <v>149.0</v>
      </c>
      <c r="F116" s="1" t="s">
        <v>35</v>
      </c>
      <c r="G116" s="1" t="s">
        <v>27</v>
      </c>
      <c r="H116" s="1">
        <v>59.0</v>
      </c>
      <c r="I116" s="4" t="str">
        <f>IFERROR(VLOOKUP(C116,Merchants!$A$2:$D$41,2,FALSE),"Merchant not found")</f>
        <v>Merchant_035</v>
      </c>
      <c r="J116" s="4" t="str">
        <f>IFERROR(VLOOKUP(C116,Merchants!$A$2:$D$41,3,FALSE),"Merchant not found")</f>
        <v>recharge</v>
      </c>
      <c r="K116" s="4" t="str">
        <f>IFERROR(VLOOKUP(C116,Merchants!$A$2:$D$41,4,FALSE),"Merchant not found")</f>
        <v>East</v>
      </c>
      <c r="L116" s="4">
        <f>IFERROR(HLOOKUP(F116,Fee_Lookup!$B$1:$E$2,2,FALSE),"Fee not found")</f>
        <v>0</v>
      </c>
      <c r="M116" s="5">
        <f t="shared" si="1"/>
        <v>46035</v>
      </c>
      <c r="N116" s="4" t="str">
        <f t="shared" si="2"/>
        <v>35|2026-01-13</v>
      </c>
      <c r="O116" s="4">
        <f>IFERROR(VLOOKUP(N116,Merchant_Daily!$A:$B,2,FALSE),0)</f>
        <v>149</v>
      </c>
      <c r="P116" s="4" t="str">
        <f t="shared" si="3"/>
        <v>Standard Merchant Day</v>
      </c>
    </row>
    <row r="117">
      <c r="A117" s="1" t="s">
        <v>687</v>
      </c>
      <c r="B117" s="1">
        <v>266.0</v>
      </c>
      <c r="C117" s="1">
        <v>24.0</v>
      </c>
      <c r="D117" s="3">
        <v>46036.05</v>
      </c>
      <c r="E117" s="1">
        <v>499.0</v>
      </c>
      <c r="F117" s="1" t="s">
        <v>35</v>
      </c>
      <c r="G117" s="1" t="s">
        <v>27</v>
      </c>
      <c r="H117" s="1">
        <v>79.0</v>
      </c>
      <c r="I117" s="4" t="str">
        <f>IFERROR(VLOOKUP(C117,Merchants!$A$2:$D$41,2,FALSE),"Merchant not found")</f>
        <v>Merchant_024</v>
      </c>
      <c r="J117" s="4" t="str">
        <f>IFERROR(VLOOKUP(C117,Merchants!$A$2:$D$41,3,FALSE),"Merchant not found")</f>
        <v>grocery</v>
      </c>
      <c r="K117" s="4" t="str">
        <f>IFERROR(VLOOKUP(C117,Merchants!$A$2:$D$41,4,FALSE),"Merchant not found")</f>
        <v>North</v>
      </c>
      <c r="L117" s="4">
        <f>IFERROR(HLOOKUP(F117,Fee_Lookup!$B$1:$E$2,2,FALSE),"Fee not found")</f>
        <v>0</v>
      </c>
      <c r="M117" s="5">
        <f t="shared" si="1"/>
        <v>46036</v>
      </c>
      <c r="N117" s="4" t="str">
        <f t="shared" si="2"/>
        <v>24|2026-01-14</v>
      </c>
      <c r="O117" s="4">
        <f>IFERROR(VLOOKUP(N117,Merchant_Daily!$A:$B,2,FALSE),0)</f>
        <v>499</v>
      </c>
      <c r="P117" s="4" t="str">
        <f t="shared" si="3"/>
        <v>Standard Merchant Day</v>
      </c>
    </row>
    <row r="118">
      <c r="A118" s="1" t="s">
        <v>688</v>
      </c>
      <c r="B118" s="1">
        <v>227.0</v>
      </c>
      <c r="C118" s="1">
        <v>4.0</v>
      </c>
      <c r="D118" s="3">
        <v>46047.65277777778</v>
      </c>
      <c r="E118" s="1">
        <v>499.0</v>
      </c>
      <c r="F118" s="1" t="s">
        <v>35</v>
      </c>
      <c r="G118" s="1" t="s">
        <v>27</v>
      </c>
      <c r="H118" s="1">
        <v>26.0</v>
      </c>
      <c r="I118" s="4" t="str">
        <f>IFERROR(VLOOKUP(C118,Merchants!$A$2:$D$41,2,FALSE),"Merchant not found")</f>
        <v>Merchant_004</v>
      </c>
      <c r="J118" s="4" t="str">
        <f>IFERROR(VLOOKUP(C118,Merchants!$A$2:$D$41,3,FALSE),"Merchant not found")</f>
        <v>ecommerce</v>
      </c>
      <c r="K118" s="4" t="str">
        <f>IFERROR(VLOOKUP(C118,Merchants!$A$2:$D$41,4,FALSE),"Merchant not found")</f>
        <v>East</v>
      </c>
      <c r="L118" s="4">
        <f>IFERROR(HLOOKUP(F118,Fee_Lookup!$B$1:$E$2,2,FALSE),"Fee not found")</f>
        <v>0</v>
      </c>
      <c r="M118" s="5">
        <f t="shared" si="1"/>
        <v>46047</v>
      </c>
      <c r="N118" s="4" t="str">
        <f t="shared" si="2"/>
        <v>4|2026-01-25</v>
      </c>
      <c r="O118" s="4">
        <f>IFERROR(VLOOKUP(N118,Merchant_Daily!$A:$B,2,FALSE),0)</f>
        <v>1998</v>
      </c>
      <c r="P118" s="4" t="str">
        <f t="shared" si="3"/>
        <v>Standard Merchant Day</v>
      </c>
    </row>
    <row r="119">
      <c r="A119" s="1" t="s">
        <v>689</v>
      </c>
      <c r="B119" s="1">
        <v>148.0</v>
      </c>
      <c r="C119" s="1">
        <v>29.0</v>
      </c>
      <c r="D119" s="3">
        <v>46031.71388888889</v>
      </c>
      <c r="E119" s="1">
        <v>499.0</v>
      </c>
      <c r="F119" s="1" t="s">
        <v>35</v>
      </c>
      <c r="G119" s="1" t="s">
        <v>27</v>
      </c>
      <c r="H119" s="1">
        <v>89.0</v>
      </c>
      <c r="I119" s="4" t="str">
        <f>IFERROR(VLOOKUP(C119,Merchants!$A$2:$D$41,2,FALSE),"Merchant not found")</f>
        <v>Merchant_029</v>
      </c>
      <c r="J119" s="4" t="str">
        <f>IFERROR(VLOOKUP(C119,Merchants!$A$2:$D$41,3,FALSE),"Merchant not found")</f>
        <v>ecommerce</v>
      </c>
      <c r="K119" s="4" t="str">
        <f>IFERROR(VLOOKUP(C119,Merchants!$A$2:$D$41,4,FALSE),"Merchant not found")</f>
        <v>North</v>
      </c>
      <c r="L119" s="4">
        <f>IFERROR(HLOOKUP(F119,Fee_Lookup!$B$1:$E$2,2,FALSE),"Fee not found")</f>
        <v>0</v>
      </c>
      <c r="M119" s="5">
        <f t="shared" si="1"/>
        <v>46031</v>
      </c>
      <c r="N119" s="4" t="str">
        <f t="shared" si="2"/>
        <v>29|2026-01-09</v>
      </c>
      <c r="O119" s="4">
        <f>IFERROR(VLOOKUP(N119,Merchant_Daily!$A:$B,2,FALSE),0)</f>
        <v>499</v>
      </c>
      <c r="P119" s="4" t="str">
        <f t="shared" si="3"/>
        <v>Standard Merchant Day</v>
      </c>
    </row>
    <row r="120">
      <c r="A120" s="1" t="s">
        <v>690</v>
      </c>
      <c r="B120" s="1">
        <v>323.0</v>
      </c>
      <c r="C120" s="1">
        <v>39.0</v>
      </c>
      <c r="D120" s="3">
        <v>46038.12569444445</v>
      </c>
      <c r="E120" s="1">
        <v>499.0</v>
      </c>
      <c r="F120" s="1" t="s">
        <v>35</v>
      </c>
      <c r="G120" s="1" t="s">
        <v>27</v>
      </c>
      <c r="H120" s="1">
        <v>30.0</v>
      </c>
      <c r="I120" s="4" t="str">
        <f>IFERROR(VLOOKUP(C120,Merchants!$A$2:$D$41,2,FALSE),"Merchant not found")</f>
        <v>Merchant_039</v>
      </c>
      <c r="J120" s="4" t="str">
        <f>IFERROR(VLOOKUP(C120,Merchants!$A$2:$D$41,3,FALSE),"Merchant not found")</f>
        <v>entertainment</v>
      </c>
      <c r="K120" s="4" t="str">
        <f>IFERROR(VLOOKUP(C120,Merchants!$A$2:$D$41,4,FALSE),"Merchant not found")</f>
        <v>North</v>
      </c>
      <c r="L120" s="4">
        <f>IFERROR(HLOOKUP(F120,Fee_Lookup!$B$1:$E$2,2,FALSE),"Fee not found")</f>
        <v>0</v>
      </c>
      <c r="M120" s="5">
        <f t="shared" si="1"/>
        <v>46038</v>
      </c>
      <c r="N120" s="4" t="str">
        <f t="shared" si="2"/>
        <v>39|2026-01-16</v>
      </c>
      <c r="O120" s="4">
        <f>IFERROR(VLOOKUP(N120,Merchant_Daily!$A:$B,2,FALSE),0)</f>
        <v>499</v>
      </c>
      <c r="P120" s="4" t="str">
        <f t="shared" si="3"/>
        <v>Standard Merchant Day</v>
      </c>
    </row>
    <row r="121">
      <c r="A121" s="1" t="s">
        <v>691</v>
      </c>
      <c r="B121" s="1">
        <v>283.0</v>
      </c>
      <c r="C121" s="1">
        <v>1.0</v>
      </c>
      <c r="D121" s="3">
        <v>46045.22152777778</v>
      </c>
      <c r="E121" s="1">
        <v>2999.0</v>
      </c>
      <c r="F121" s="1" t="s">
        <v>26</v>
      </c>
      <c r="G121" s="1" t="s">
        <v>27</v>
      </c>
      <c r="H121" s="1">
        <v>70.0</v>
      </c>
      <c r="I121" s="4" t="str">
        <f>IFERROR(VLOOKUP(C121,Merchants!$A$2:$D$41,2,FALSE),"Merchant not found")</f>
        <v>Merchant_001</v>
      </c>
      <c r="J121" s="4" t="str">
        <f>IFERROR(VLOOKUP(C121,Merchants!$A$2:$D$41,3,FALSE),"Merchant not found")</f>
        <v>ecommerce</v>
      </c>
      <c r="K121" s="4" t="str">
        <f>IFERROR(VLOOKUP(C121,Merchants!$A$2:$D$41,4,FALSE),"Merchant not found")</f>
        <v>South</v>
      </c>
      <c r="L121" s="4">
        <f>IFERROR(HLOOKUP(F121,Fee_Lookup!$B$1:$E$2,2,FALSE),"Fee not found")</f>
        <v>0.005</v>
      </c>
      <c r="M121" s="5">
        <f t="shared" si="1"/>
        <v>46045</v>
      </c>
      <c r="N121" s="4" t="str">
        <f t="shared" si="2"/>
        <v>1|2026-01-23</v>
      </c>
      <c r="O121" s="4">
        <f>IFERROR(VLOOKUP(N121,Merchant_Daily!$A:$B,2,FALSE),0)</f>
        <v>3148</v>
      </c>
      <c r="P121" s="4" t="str">
        <f t="shared" si="3"/>
        <v>Standard Merchant Day</v>
      </c>
    </row>
    <row r="122">
      <c r="A122" s="1" t="s">
        <v>692</v>
      </c>
      <c r="B122" s="1">
        <v>59.0</v>
      </c>
      <c r="C122" s="1">
        <v>30.0</v>
      </c>
      <c r="D122" s="3">
        <v>46036.09305555555</v>
      </c>
      <c r="E122" s="1">
        <v>499.0</v>
      </c>
      <c r="F122" s="1" t="s">
        <v>35</v>
      </c>
      <c r="G122" s="1" t="s">
        <v>27</v>
      </c>
      <c r="H122" s="1">
        <v>15.0</v>
      </c>
      <c r="I122" s="4" t="str">
        <f>IFERROR(VLOOKUP(C122,Merchants!$A$2:$D$41,2,FALSE),"Merchant not found")</f>
        <v>Merchant_030</v>
      </c>
      <c r="J122" s="4" t="str">
        <f>IFERROR(VLOOKUP(C122,Merchants!$A$2:$D$41,3,FALSE),"Merchant not found")</f>
        <v>travel</v>
      </c>
      <c r="K122" s="4" t="str">
        <f>IFERROR(VLOOKUP(C122,Merchants!$A$2:$D$41,4,FALSE),"Merchant not found")</f>
        <v>West</v>
      </c>
      <c r="L122" s="4">
        <f>IFERROR(HLOOKUP(F122,Fee_Lookup!$B$1:$E$2,2,FALSE),"Fee not found")</f>
        <v>0</v>
      </c>
      <c r="M122" s="5">
        <f t="shared" si="1"/>
        <v>46036</v>
      </c>
      <c r="N122" s="4" t="str">
        <f t="shared" si="2"/>
        <v>30|2026-01-14</v>
      </c>
      <c r="O122" s="4">
        <f>IFERROR(VLOOKUP(N122,Merchant_Daily!$A:$B,2,FALSE),0)</f>
        <v>2497</v>
      </c>
      <c r="P122" s="4" t="str">
        <f t="shared" si="3"/>
        <v>Standard Merchant Day</v>
      </c>
    </row>
    <row r="123">
      <c r="A123" s="1" t="s">
        <v>693</v>
      </c>
      <c r="B123" s="1">
        <v>150.0</v>
      </c>
      <c r="C123" s="1">
        <v>33.0</v>
      </c>
      <c r="D123" s="3">
        <v>46043.18819444445</v>
      </c>
      <c r="E123" s="1">
        <v>2999.0</v>
      </c>
      <c r="F123" s="1" t="s">
        <v>35</v>
      </c>
      <c r="G123" s="1" t="s">
        <v>27</v>
      </c>
      <c r="H123" s="1">
        <v>90.0</v>
      </c>
      <c r="I123" s="4" t="str">
        <f>IFERROR(VLOOKUP(C123,Merchants!$A$2:$D$41,2,FALSE),"Merchant not found")</f>
        <v>Merchant_033</v>
      </c>
      <c r="J123" s="4" t="str">
        <f>IFERROR(VLOOKUP(C123,Merchants!$A$2:$D$41,3,FALSE),"Merchant not found")</f>
        <v>bill_payment</v>
      </c>
      <c r="K123" s="4" t="str">
        <f>IFERROR(VLOOKUP(C123,Merchants!$A$2:$D$41,4,FALSE),"Merchant not found")</f>
        <v>East</v>
      </c>
      <c r="L123" s="4">
        <f>IFERROR(HLOOKUP(F123,Fee_Lookup!$B$1:$E$2,2,FALSE),"Fee not found")</f>
        <v>0</v>
      </c>
      <c r="M123" s="5">
        <f t="shared" si="1"/>
        <v>46043</v>
      </c>
      <c r="N123" s="4" t="str">
        <f t="shared" si="2"/>
        <v>33|2026-01-21</v>
      </c>
      <c r="O123" s="4">
        <f>IFERROR(VLOOKUP(N123,Merchant_Daily!$A:$B,2,FALSE),0)</f>
        <v>3298</v>
      </c>
      <c r="P123" s="4" t="str">
        <f t="shared" si="3"/>
        <v>Standard Merchant Day</v>
      </c>
    </row>
    <row r="124">
      <c r="A124" s="1" t="s">
        <v>694</v>
      </c>
      <c r="B124" s="1">
        <v>248.0</v>
      </c>
      <c r="C124" s="1">
        <v>31.0</v>
      </c>
      <c r="D124" s="3">
        <v>46031.57847222222</v>
      </c>
      <c r="E124" s="1">
        <v>1499.0</v>
      </c>
      <c r="F124" s="1" t="s">
        <v>35</v>
      </c>
      <c r="G124" s="1" t="s">
        <v>30</v>
      </c>
      <c r="H124" s="1">
        <v>31.0</v>
      </c>
      <c r="I124" s="4" t="str">
        <f>IFERROR(VLOOKUP(C124,Merchants!$A$2:$D$41,2,FALSE),"Merchant not found")</f>
        <v>Merchant_031</v>
      </c>
      <c r="J124" s="4" t="str">
        <f>IFERROR(VLOOKUP(C124,Merchants!$A$2:$D$41,3,FALSE),"Merchant not found")</f>
        <v>bill_payment</v>
      </c>
      <c r="K124" s="4" t="str">
        <f>IFERROR(VLOOKUP(C124,Merchants!$A$2:$D$41,4,FALSE),"Merchant not found")</f>
        <v>East</v>
      </c>
      <c r="L124" s="4">
        <f>IFERROR(HLOOKUP(F124,Fee_Lookup!$B$1:$E$2,2,FALSE),"Fee not found")</f>
        <v>0</v>
      </c>
      <c r="M124" s="5">
        <f t="shared" si="1"/>
        <v>46031</v>
      </c>
      <c r="N124" s="4" t="str">
        <f t="shared" si="2"/>
        <v>31|2026-01-09</v>
      </c>
      <c r="O124" s="4">
        <f>IFERROR(VLOOKUP(N124,Merchant_Daily!$A:$B,2,FALSE),0)</f>
        <v>1499</v>
      </c>
      <c r="P124" s="4" t="str">
        <f t="shared" si="3"/>
        <v>Standard Merchant Day</v>
      </c>
    </row>
    <row r="125">
      <c r="A125" s="1" t="s">
        <v>695</v>
      </c>
      <c r="B125" s="1">
        <v>197.0</v>
      </c>
      <c r="C125" s="1">
        <v>13.0</v>
      </c>
      <c r="D125" s="3">
        <v>46037.714583333334</v>
      </c>
      <c r="E125" s="1">
        <v>49.0</v>
      </c>
      <c r="F125" s="1" t="s">
        <v>35</v>
      </c>
      <c r="G125" s="1" t="s">
        <v>27</v>
      </c>
      <c r="H125" s="1">
        <v>76.0</v>
      </c>
      <c r="I125" s="4" t="str">
        <f>IFERROR(VLOOKUP(C125,Merchants!$A$2:$D$41,2,FALSE),"Merchant not found")</f>
        <v>Merchant_013</v>
      </c>
      <c r="J125" s="4" t="str">
        <f>IFERROR(VLOOKUP(C125,Merchants!$A$2:$D$41,3,FALSE),"Merchant not found")</f>
        <v>travel</v>
      </c>
      <c r="K125" s="4" t="str">
        <f>IFERROR(VLOOKUP(C125,Merchants!$A$2:$D$41,4,FALSE),"Merchant not found")</f>
        <v>East</v>
      </c>
      <c r="L125" s="4">
        <f>IFERROR(HLOOKUP(F125,Fee_Lookup!$B$1:$E$2,2,FALSE),"Fee not found")</f>
        <v>0</v>
      </c>
      <c r="M125" s="5">
        <f t="shared" si="1"/>
        <v>46037</v>
      </c>
      <c r="N125" s="4" t="str">
        <f t="shared" si="2"/>
        <v>13|2026-01-15</v>
      </c>
      <c r="O125" s="4">
        <f>IFERROR(VLOOKUP(N125,Merchant_Daily!$A:$B,2,FALSE),0)</f>
        <v>49</v>
      </c>
      <c r="P125" s="4" t="str">
        <f t="shared" si="3"/>
        <v>Standard Merchant Day</v>
      </c>
    </row>
    <row r="126">
      <c r="A126" s="1" t="s">
        <v>696</v>
      </c>
      <c r="B126" s="1">
        <v>70.0</v>
      </c>
      <c r="C126" s="1">
        <v>5.0</v>
      </c>
      <c r="D126" s="3">
        <v>46039.99722222222</v>
      </c>
      <c r="E126" s="1">
        <v>499.0</v>
      </c>
      <c r="F126" s="1" t="s">
        <v>35</v>
      </c>
      <c r="G126" s="1" t="s">
        <v>27</v>
      </c>
      <c r="H126" s="1">
        <v>35.0</v>
      </c>
      <c r="I126" s="4" t="str">
        <f>IFERROR(VLOOKUP(C126,Merchants!$A$2:$D$41,2,FALSE),"Merchant not found")</f>
        <v>Merchant_005</v>
      </c>
      <c r="J126" s="4" t="str">
        <f>IFERROR(VLOOKUP(C126,Merchants!$A$2:$D$41,3,FALSE),"Merchant not found")</f>
        <v>recharge</v>
      </c>
      <c r="K126" s="4" t="str">
        <f>IFERROR(VLOOKUP(C126,Merchants!$A$2:$D$41,4,FALSE),"Merchant not found")</f>
        <v>South</v>
      </c>
      <c r="L126" s="4">
        <f>IFERROR(HLOOKUP(F126,Fee_Lookup!$B$1:$E$2,2,FALSE),"Fee not found")</f>
        <v>0</v>
      </c>
      <c r="M126" s="5">
        <f t="shared" si="1"/>
        <v>46039</v>
      </c>
      <c r="N126" s="4" t="str">
        <f t="shared" si="2"/>
        <v>5|2026-01-17</v>
      </c>
      <c r="O126" s="4">
        <f>IFERROR(VLOOKUP(N126,Merchant_Daily!$A:$B,2,FALSE),0)</f>
        <v>499</v>
      </c>
      <c r="P126" s="4" t="str">
        <f t="shared" si="3"/>
        <v>Standard Merchant Day</v>
      </c>
    </row>
    <row r="127">
      <c r="A127" s="1" t="s">
        <v>697</v>
      </c>
      <c r="B127" s="1">
        <v>260.0</v>
      </c>
      <c r="C127" s="1">
        <v>18.0</v>
      </c>
      <c r="D127" s="3">
        <v>46047.55625</v>
      </c>
      <c r="E127" s="1">
        <v>1499.0</v>
      </c>
      <c r="F127" s="1" t="s">
        <v>35</v>
      </c>
      <c r="G127" s="1" t="s">
        <v>27</v>
      </c>
      <c r="H127" s="1">
        <v>0.0</v>
      </c>
      <c r="I127" s="4" t="str">
        <f>IFERROR(VLOOKUP(C127,Merchants!$A$2:$D$41,2,FALSE),"Merchant not found")</f>
        <v>Merchant_018</v>
      </c>
      <c r="J127" s="4" t="str">
        <f>IFERROR(VLOOKUP(C127,Merchants!$A$2:$D$41,3,FALSE),"Merchant not found")</f>
        <v>grocery</v>
      </c>
      <c r="K127" s="4" t="str">
        <f>IFERROR(VLOOKUP(C127,Merchants!$A$2:$D$41,4,FALSE),"Merchant not found")</f>
        <v>West</v>
      </c>
      <c r="L127" s="4">
        <f>IFERROR(HLOOKUP(F127,Fee_Lookup!$B$1:$E$2,2,FALSE),"Fee not found")</f>
        <v>0</v>
      </c>
      <c r="M127" s="5">
        <f t="shared" si="1"/>
        <v>46047</v>
      </c>
      <c r="N127" s="4" t="str">
        <f t="shared" si="2"/>
        <v>18|2026-01-25</v>
      </c>
      <c r="O127" s="4">
        <f>IFERROR(VLOOKUP(N127,Merchant_Daily!$A:$B,2,FALSE),0)</f>
        <v>1648</v>
      </c>
      <c r="P127" s="4" t="str">
        <f t="shared" si="3"/>
        <v>Standard Merchant Day</v>
      </c>
    </row>
    <row r="128">
      <c r="A128" s="1" t="s">
        <v>698</v>
      </c>
      <c r="B128" s="1">
        <v>301.0</v>
      </c>
      <c r="C128" s="1">
        <v>38.0</v>
      </c>
      <c r="D128" s="3">
        <v>46032.97152777778</v>
      </c>
      <c r="E128" s="1">
        <v>99.0</v>
      </c>
      <c r="F128" s="1" t="s">
        <v>35</v>
      </c>
      <c r="G128" s="1" t="s">
        <v>27</v>
      </c>
      <c r="H128" s="1">
        <v>84.0</v>
      </c>
      <c r="I128" s="4" t="str">
        <f>IFERROR(VLOOKUP(C128,Merchants!$A$2:$D$41,2,FALSE),"Merchant not found")</f>
        <v>Merchant_038</v>
      </c>
      <c r="J128" s="4" t="str">
        <f>IFERROR(VLOOKUP(C128,Merchants!$A$2:$D$41,3,FALSE),"Merchant not found")</f>
        <v>grocery</v>
      </c>
      <c r="K128" s="4" t="str">
        <f>IFERROR(VLOOKUP(C128,Merchants!$A$2:$D$41,4,FALSE),"Merchant not found")</f>
        <v>East</v>
      </c>
      <c r="L128" s="4">
        <f>IFERROR(HLOOKUP(F128,Fee_Lookup!$B$1:$E$2,2,FALSE),"Fee not found")</f>
        <v>0</v>
      </c>
      <c r="M128" s="5">
        <f t="shared" si="1"/>
        <v>46032</v>
      </c>
      <c r="N128" s="4" t="str">
        <f t="shared" si="2"/>
        <v>38|2026-01-10</v>
      </c>
      <c r="O128" s="4">
        <f>IFERROR(VLOOKUP(N128,Merchant_Daily!$A:$B,2,FALSE),0)</f>
        <v>398</v>
      </c>
      <c r="P128" s="4" t="str">
        <f t="shared" si="3"/>
        <v>Standard Merchant Day</v>
      </c>
    </row>
    <row r="129">
      <c r="A129" s="1" t="s">
        <v>699</v>
      </c>
      <c r="B129" s="1">
        <v>276.0</v>
      </c>
      <c r="C129" s="1">
        <v>31.0</v>
      </c>
      <c r="D129" s="3">
        <v>46038.186111111114</v>
      </c>
      <c r="E129" s="1">
        <v>499.0</v>
      </c>
      <c r="F129" s="1" t="s">
        <v>46</v>
      </c>
      <c r="G129" s="1" t="s">
        <v>27</v>
      </c>
      <c r="H129" s="1">
        <v>44.0</v>
      </c>
      <c r="I129" s="4" t="str">
        <f>IFERROR(VLOOKUP(C129,Merchants!$A$2:$D$41,2,FALSE),"Merchant not found")</f>
        <v>Merchant_031</v>
      </c>
      <c r="J129" s="4" t="str">
        <f>IFERROR(VLOOKUP(C129,Merchants!$A$2:$D$41,3,FALSE),"Merchant not found")</f>
        <v>bill_payment</v>
      </c>
      <c r="K129" s="4" t="str">
        <f>IFERROR(VLOOKUP(C129,Merchants!$A$2:$D$41,4,FALSE),"Merchant not found")</f>
        <v>East</v>
      </c>
      <c r="L129" s="4">
        <f>IFERROR(HLOOKUP(F129,Fee_Lookup!$B$1:$E$2,2,FALSE),"Fee not found")</f>
        <v>0.01</v>
      </c>
      <c r="M129" s="5">
        <f t="shared" si="1"/>
        <v>46038</v>
      </c>
      <c r="N129" s="4" t="str">
        <f t="shared" si="2"/>
        <v>31|2026-01-16</v>
      </c>
      <c r="O129" s="4">
        <f>IFERROR(VLOOKUP(N129,Merchant_Daily!$A:$B,2,FALSE),0)</f>
        <v>499</v>
      </c>
      <c r="P129" s="4" t="str">
        <f t="shared" si="3"/>
        <v>Standard Merchant Day</v>
      </c>
    </row>
    <row r="130">
      <c r="A130" s="1" t="s">
        <v>700</v>
      </c>
      <c r="B130" s="1">
        <v>279.0</v>
      </c>
      <c r="C130" s="1">
        <v>25.0</v>
      </c>
      <c r="D130" s="3">
        <v>46033.74166666667</v>
      </c>
      <c r="E130" s="1">
        <v>799.0</v>
      </c>
      <c r="F130" s="1" t="s">
        <v>35</v>
      </c>
      <c r="G130" s="1" t="s">
        <v>27</v>
      </c>
      <c r="H130" s="1">
        <v>58.0</v>
      </c>
      <c r="I130" s="4" t="str">
        <f>IFERROR(VLOOKUP(C130,Merchants!$A$2:$D$41,2,FALSE),"Merchant not found")</f>
        <v>Merchant_025</v>
      </c>
      <c r="J130" s="4" t="str">
        <f>IFERROR(VLOOKUP(C130,Merchants!$A$2:$D$41,3,FALSE),"Merchant not found")</f>
        <v>travel</v>
      </c>
      <c r="K130" s="4" t="str">
        <f>IFERROR(VLOOKUP(C130,Merchants!$A$2:$D$41,4,FALSE),"Merchant not found")</f>
        <v>South</v>
      </c>
      <c r="L130" s="4">
        <f>IFERROR(HLOOKUP(F130,Fee_Lookup!$B$1:$E$2,2,FALSE),"Fee not found")</f>
        <v>0</v>
      </c>
      <c r="M130" s="5">
        <f t="shared" si="1"/>
        <v>46033</v>
      </c>
      <c r="N130" s="4" t="str">
        <f t="shared" si="2"/>
        <v>25|2026-01-11</v>
      </c>
      <c r="O130" s="4">
        <f>IFERROR(VLOOKUP(N130,Merchant_Daily!$A:$B,2,FALSE),0)</f>
        <v>799</v>
      </c>
      <c r="P130" s="4" t="str">
        <f t="shared" si="3"/>
        <v>Standard Merchant Day</v>
      </c>
    </row>
    <row r="131">
      <c r="A131" s="1" t="s">
        <v>701</v>
      </c>
      <c r="B131" s="1">
        <v>97.0</v>
      </c>
      <c r="C131" s="1">
        <v>16.0</v>
      </c>
      <c r="D131" s="3">
        <v>46052.45486111111</v>
      </c>
      <c r="E131" s="1">
        <v>799.0</v>
      </c>
      <c r="F131" s="1" t="s">
        <v>46</v>
      </c>
      <c r="G131" s="1" t="s">
        <v>27</v>
      </c>
      <c r="H131" s="1">
        <v>73.0</v>
      </c>
      <c r="I131" s="4" t="str">
        <f>IFERROR(VLOOKUP(C131,Merchants!$A$2:$D$41,2,FALSE),"Merchant not found")</f>
        <v>Merchant_016</v>
      </c>
      <c r="J131" s="4" t="str">
        <f>IFERROR(VLOOKUP(C131,Merchants!$A$2:$D$41,3,FALSE),"Merchant not found")</f>
        <v>bill_payment</v>
      </c>
      <c r="K131" s="4" t="str">
        <f>IFERROR(VLOOKUP(C131,Merchants!$A$2:$D$41,4,FALSE),"Merchant not found")</f>
        <v>West</v>
      </c>
      <c r="L131" s="4">
        <f>IFERROR(HLOOKUP(F131,Fee_Lookup!$B$1:$E$2,2,FALSE),"Fee not found")</f>
        <v>0.01</v>
      </c>
      <c r="M131" s="5">
        <f t="shared" si="1"/>
        <v>46052</v>
      </c>
      <c r="N131" s="4" t="str">
        <f t="shared" si="2"/>
        <v>16|2026-01-30</v>
      </c>
      <c r="O131" s="4">
        <f>IFERROR(VLOOKUP(N131,Merchant_Daily!$A:$B,2,FALSE),0)</f>
        <v>898</v>
      </c>
      <c r="P131" s="4" t="str">
        <f t="shared" si="3"/>
        <v>Standard Merchant Day</v>
      </c>
    </row>
    <row r="132">
      <c r="A132" s="1" t="s">
        <v>702</v>
      </c>
      <c r="B132" s="1">
        <v>211.0</v>
      </c>
      <c r="C132" s="1">
        <v>3.0</v>
      </c>
      <c r="D132" s="3">
        <v>46035.32916666667</v>
      </c>
      <c r="E132" s="1">
        <v>149.0</v>
      </c>
      <c r="F132" s="1" t="s">
        <v>35</v>
      </c>
      <c r="G132" s="1" t="s">
        <v>34</v>
      </c>
      <c r="H132" s="1">
        <v>40.0</v>
      </c>
      <c r="I132" s="4" t="str">
        <f>IFERROR(VLOOKUP(C132,Merchants!$A$2:$D$41,2,FALSE),"Merchant not found")</f>
        <v>Merchant_003</v>
      </c>
      <c r="J132" s="4" t="str">
        <f>IFERROR(VLOOKUP(C132,Merchants!$A$2:$D$41,3,FALSE),"Merchant not found")</f>
        <v>grocery</v>
      </c>
      <c r="K132" s="4" t="str">
        <f>IFERROR(VLOOKUP(C132,Merchants!$A$2:$D$41,4,FALSE),"Merchant not found")</f>
        <v>East</v>
      </c>
      <c r="L132" s="4">
        <f>IFERROR(HLOOKUP(F132,Fee_Lookup!$B$1:$E$2,2,FALSE),"Fee not found")</f>
        <v>0</v>
      </c>
      <c r="M132" s="5">
        <f t="shared" si="1"/>
        <v>46035</v>
      </c>
      <c r="N132" s="4" t="str">
        <f t="shared" si="2"/>
        <v>3|2026-01-13</v>
      </c>
      <c r="O132" s="4">
        <f>IFERROR(VLOOKUP(N132,Merchant_Daily!$A:$B,2,FALSE),0)</f>
        <v>198</v>
      </c>
      <c r="P132" s="4" t="str">
        <f t="shared" si="3"/>
        <v>Standard Merchant Day</v>
      </c>
    </row>
    <row r="133">
      <c r="A133" s="1" t="s">
        <v>703</v>
      </c>
      <c r="B133" s="1">
        <v>196.0</v>
      </c>
      <c r="C133" s="1">
        <v>25.0</v>
      </c>
      <c r="D133" s="3">
        <v>46046.65625</v>
      </c>
      <c r="E133" s="1">
        <v>149.0</v>
      </c>
      <c r="F133" s="1" t="s">
        <v>47</v>
      </c>
      <c r="G133" s="1" t="s">
        <v>27</v>
      </c>
      <c r="H133" s="1">
        <v>84.0</v>
      </c>
      <c r="I133" s="4" t="str">
        <f>IFERROR(VLOOKUP(C133,Merchants!$A$2:$D$41,2,FALSE),"Merchant not found")</f>
        <v>Merchant_025</v>
      </c>
      <c r="J133" s="4" t="str">
        <f>IFERROR(VLOOKUP(C133,Merchants!$A$2:$D$41,3,FALSE),"Merchant not found")</f>
        <v>travel</v>
      </c>
      <c r="K133" s="4" t="str">
        <f>IFERROR(VLOOKUP(C133,Merchants!$A$2:$D$41,4,FALSE),"Merchant not found")</f>
        <v>South</v>
      </c>
      <c r="L133" s="4">
        <f>IFERROR(HLOOKUP(F133,Fee_Lookup!$B$1:$E$2,2,FALSE),"Fee not found")</f>
        <v>0.015</v>
      </c>
      <c r="M133" s="5">
        <f t="shared" si="1"/>
        <v>46046</v>
      </c>
      <c r="N133" s="4" t="str">
        <f t="shared" si="2"/>
        <v>25|2026-01-24</v>
      </c>
      <c r="O133" s="4">
        <f>IFERROR(VLOOKUP(N133,Merchant_Daily!$A:$B,2,FALSE),0)</f>
        <v>497</v>
      </c>
      <c r="P133" s="4" t="str">
        <f t="shared" si="3"/>
        <v>Standard Merchant Day</v>
      </c>
    </row>
    <row r="134">
      <c r="A134" s="1" t="s">
        <v>704</v>
      </c>
      <c r="B134" s="1">
        <v>254.0</v>
      </c>
      <c r="C134" s="1">
        <v>3.0</v>
      </c>
      <c r="D134" s="3">
        <v>46048.839583333334</v>
      </c>
      <c r="E134" s="1">
        <v>149.0</v>
      </c>
      <c r="F134" s="1" t="s">
        <v>46</v>
      </c>
      <c r="G134" s="1" t="s">
        <v>27</v>
      </c>
      <c r="H134" s="1">
        <v>16.0</v>
      </c>
      <c r="I134" s="4" t="str">
        <f>IFERROR(VLOOKUP(C134,Merchants!$A$2:$D$41,2,FALSE),"Merchant not found")</f>
        <v>Merchant_003</v>
      </c>
      <c r="J134" s="4" t="str">
        <f>IFERROR(VLOOKUP(C134,Merchants!$A$2:$D$41,3,FALSE),"Merchant not found")</f>
        <v>grocery</v>
      </c>
      <c r="K134" s="4" t="str">
        <f>IFERROR(VLOOKUP(C134,Merchants!$A$2:$D$41,4,FALSE),"Merchant not found")</f>
        <v>East</v>
      </c>
      <c r="L134" s="4">
        <f>IFERROR(HLOOKUP(F134,Fee_Lookup!$B$1:$E$2,2,FALSE),"Fee not found")</f>
        <v>0.01</v>
      </c>
      <c r="M134" s="5">
        <f t="shared" si="1"/>
        <v>46048</v>
      </c>
      <c r="N134" s="4" t="str">
        <f t="shared" si="2"/>
        <v>3|2026-01-26</v>
      </c>
      <c r="O134" s="4">
        <f>IFERROR(VLOOKUP(N134,Merchant_Daily!$A:$B,2,FALSE),0)</f>
        <v>149</v>
      </c>
      <c r="P134" s="4" t="str">
        <f t="shared" si="3"/>
        <v>Standard Merchant Day</v>
      </c>
    </row>
    <row r="135">
      <c r="A135" s="1" t="s">
        <v>705</v>
      </c>
      <c r="B135" s="1">
        <v>52.0</v>
      </c>
      <c r="C135" s="1">
        <v>29.0</v>
      </c>
      <c r="D135" s="3">
        <v>46039.76458333333</v>
      </c>
      <c r="E135" s="1">
        <v>49.0</v>
      </c>
      <c r="F135" s="1" t="s">
        <v>47</v>
      </c>
      <c r="G135" s="1" t="s">
        <v>27</v>
      </c>
      <c r="H135" s="1">
        <v>12.0</v>
      </c>
      <c r="I135" s="4" t="str">
        <f>IFERROR(VLOOKUP(C135,Merchants!$A$2:$D$41,2,FALSE),"Merchant not found")</f>
        <v>Merchant_029</v>
      </c>
      <c r="J135" s="4" t="str">
        <f>IFERROR(VLOOKUP(C135,Merchants!$A$2:$D$41,3,FALSE),"Merchant not found")</f>
        <v>ecommerce</v>
      </c>
      <c r="K135" s="4" t="str">
        <f>IFERROR(VLOOKUP(C135,Merchants!$A$2:$D$41,4,FALSE),"Merchant not found")</f>
        <v>North</v>
      </c>
      <c r="L135" s="4">
        <f>IFERROR(HLOOKUP(F135,Fee_Lookup!$B$1:$E$2,2,FALSE),"Fee not found")</f>
        <v>0.015</v>
      </c>
      <c r="M135" s="5">
        <f t="shared" si="1"/>
        <v>46039</v>
      </c>
      <c r="N135" s="4" t="str">
        <f t="shared" si="2"/>
        <v>29|2026-01-17</v>
      </c>
      <c r="O135" s="4">
        <f>IFERROR(VLOOKUP(N135,Merchant_Daily!$A:$B,2,FALSE),0)</f>
        <v>49</v>
      </c>
      <c r="P135" s="4" t="str">
        <f t="shared" si="3"/>
        <v>Standard Merchant Day</v>
      </c>
    </row>
    <row r="136">
      <c r="A136" s="1" t="s">
        <v>706</v>
      </c>
      <c r="B136" s="1">
        <v>74.0</v>
      </c>
      <c r="C136" s="1">
        <v>27.0</v>
      </c>
      <c r="D136" s="3">
        <v>46039.583333333336</v>
      </c>
      <c r="E136" s="1">
        <v>799.0</v>
      </c>
      <c r="F136" s="1" t="s">
        <v>35</v>
      </c>
      <c r="G136" s="1" t="s">
        <v>27</v>
      </c>
      <c r="H136" s="1">
        <v>83.0</v>
      </c>
      <c r="I136" s="4" t="str">
        <f>IFERROR(VLOOKUP(C136,Merchants!$A$2:$D$41,2,FALSE),"Merchant not found")</f>
        <v>Merchant_027</v>
      </c>
      <c r="J136" s="4" t="str">
        <f>IFERROR(VLOOKUP(C136,Merchants!$A$2:$D$41,3,FALSE),"Merchant not found")</f>
        <v>ecommerce</v>
      </c>
      <c r="K136" s="4" t="str">
        <f>IFERROR(VLOOKUP(C136,Merchants!$A$2:$D$41,4,FALSE),"Merchant not found")</f>
        <v>North</v>
      </c>
      <c r="L136" s="4">
        <f>IFERROR(HLOOKUP(F136,Fee_Lookup!$B$1:$E$2,2,FALSE),"Fee not found")</f>
        <v>0</v>
      </c>
      <c r="M136" s="5">
        <f t="shared" si="1"/>
        <v>46039</v>
      </c>
      <c r="N136" s="4" t="str">
        <f t="shared" si="2"/>
        <v>27|2026-01-17</v>
      </c>
      <c r="O136" s="4">
        <f>IFERROR(VLOOKUP(N136,Merchant_Daily!$A:$B,2,FALSE),0)</f>
        <v>1597</v>
      </c>
      <c r="P136" s="4" t="str">
        <f t="shared" si="3"/>
        <v>Standard Merchant Day</v>
      </c>
    </row>
    <row r="137">
      <c r="A137" s="1" t="s">
        <v>707</v>
      </c>
      <c r="B137" s="1">
        <v>136.0</v>
      </c>
      <c r="C137" s="1">
        <v>22.0</v>
      </c>
      <c r="D137" s="3">
        <v>46027.104166666664</v>
      </c>
      <c r="E137" s="1">
        <v>149.0</v>
      </c>
      <c r="F137" s="1" t="s">
        <v>35</v>
      </c>
      <c r="G137" s="1" t="s">
        <v>27</v>
      </c>
      <c r="H137" s="1">
        <v>79.0</v>
      </c>
      <c r="I137" s="4" t="str">
        <f>IFERROR(VLOOKUP(C137,Merchants!$A$2:$D$41,2,FALSE),"Merchant not found")</f>
        <v>Merchant_022</v>
      </c>
      <c r="J137" s="4" t="str">
        <f>IFERROR(VLOOKUP(C137,Merchants!$A$2:$D$41,3,FALSE),"Merchant not found")</f>
        <v>travel</v>
      </c>
      <c r="K137" s="4" t="str">
        <f>IFERROR(VLOOKUP(C137,Merchants!$A$2:$D$41,4,FALSE),"Merchant not found")</f>
        <v>South</v>
      </c>
      <c r="L137" s="4">
        <f>IFERROR(HLOOKUP(F137,Fee_Lookup!$B$1:$E$2,2,FALSE),"Fee not found")</f>
        <v>0</v>
      </c>
      <c r="M137" s="5">
        <f t="shared" si="1"/>
        <v>46027</v>
      </c>
      <c r="N137" s="4" t="str">
        <f t="shared" si="2"/>
        <v>22|2026-01-05</v>
      </c>
      <c r="O137" s="4">
        <f>IFERROR(VLOOKUP(N137,Merchant_Daily!$A:$B,2,FALSE),0)</f>
        <v>448</v>
      </c>
      <c r="P137" s="4" t="str">
        <f t="shared" si="3"/>
        <v>Standard Merchant Day</v>
      </c>
    </row>
    <row r="138">
      <c r="A138" s="1" t="s">
        <v>708</v>
      </c>
      <c r="B138" s="1">
        <v>42.0</v>
      </c>
      <c r="C138" s="1">
        <v>22.0</v>
      </c>
      <c r="D138" s="3">
        <v>46045.52847222222</v>
      </c>
      <c r="E138" s="1">
        <v>49.0</v>
      </c>
      <c r="F138" s="1" t="s">
        <v>35</v>
      </c>
      <c r="G138" s="1" t="s">
        <v>27</v>
      </c>
      <c r="H138" s="1">
        <v>86.0</v>
      </c>
      <c r="I138" s="4" t="str">
        <f>IFERROR(VLOOKUP(C138,Merchants!$A$2:$D$41,2,FALSE),"Merchant not found")</f>
        <v>Merchant_022</v>
      </c>
      <c r="J138" s="4" t="str">
        <f>IFERROR(VLOOKUP(C138,Merchants!$A$2:$D$41,3,FALSE),"Merchant not found")</f>
        <v>travel</v>
      </c>
      <c r="K138" s="4" t="str">
        <f>IFERROR(VLOOKUP(C138,Merchants!$A$2:$D$41,4,FALSE),"Merchant not found")</f>
        <v>South</v>
      </c>
      <c r="L138" s="4">
        <f>IFERROR(HLOOKUP(F138,Fee_Lookup!$B$1:$E$2,2,FALSE),"Fee not found")</f>
        <v>0</v>
      </c>
      <c r="M138" s="5">
        <f t="shared" si="1"/>
        <v>46045</v>
      </c>
      <c r="N138" s="4" t="str">
        <f t="shared" si="2"/>
        <v>22|2026-01-23</v>
      </c>
      <c r="O138" s="4">
        <f>IFERROR(VLOOKUP(N138,Merchant_Daily!$A:$B,2,FALSE),0)</f>
        <v>49</v>
      </c>
      <c r="P138" s="4" t="str">
        <f t="shared" si="3"/>
        <v>Standard Merchant Day</v>
      </c>
    </row>
    <row r="139">
      <c r="A139" s="1" t="s">
        <v>709</v>
      </c>
      <c r="B139" s="1">
        <v>163.0</v>
      </c>
      <c r="C139" s="1">
        <v>32.0</v>
      </c>
      <c r="D139" s="3">
        <v>46050.725</v>
      </c>
      <c r="E139" s="1">
        <v>2999.0</v>
      </c>
      <c r="F139" s="1" t="s">
        <v>26</v>
      </c>
      <c r="G139" s="1" t="s">
        <v>30</v>
      </c>
      <c r="H139" s="1">
        <v>69.0</v>
      </c>
      <c r="I139" s="4" t="str">
        <f>IFERROR(VLOOKUP(C139,Merchants!$A$2:$D$41,2,FALSE),"Merchant not found")</f>
        <v>Merchant_032</v>
      </c>
      <c r="J139" s="4" t="str">
        <f>IFERROR(VLOOKUP(C139,Merchants!$A$2:$D$41,3,FALSE),"Merchant not found")</f>
        <v>food_delivery</v>
      </c>
      <c r="K139" s="4" t="str">
        <f>IFERROR(VLOOKUP(C139,Merchants!$A$2:$D$41,4,FALSE),"Merchant not found")</f>
        <v>West</v>
      </c>
      <c r="L139" s="4">
        <f>IFERROR(HLOOKUP(F139,Fee_Lookup!$B$1:$E$2,2,FALSE),"Fee not found")</f>
        <v>0.005</v>
      </c>
      <c r="M139" s="5">
        <f t="shared" si="1"/>
        <v>46050</v>
      </c>
      <c r="N139" s="4" t="str">
        <f t="shared" si="2"/>
        <v>32|2026-01-28</v>
      </c>
      <c r="O139" s="4">
        <f>IFERROR(VLOOKUP(N139,Merchant_Daily!$A:$B,2,FALSE),0)</f>
        <v>2999</v>
      </c>
      <c r="P139" s="4" t="str">
        <f t="shared" si="3"/>
        <v>Standard Merchant Day</v>
      </c>
    </row>
    <row r="140">
      <c r="A140" s="1" t="s">
        <v>710</v>
      </c>
      <c r="B140" s="1">
        <v>121.0</v>
      </c>
      <c r="C140" s="1">
        <v>19.0</v>
      </c>
      <c r="D140" s="3">
        <v>46024.794444444444</v>
      </c>
      <c r="E140" s="1">
        <v>149.0</v>
      </c>
      <c r="F140" s="1" t="s">
        <v>35</v>
      </c>
      <c r="G140" s="1" t="s">
        <v>27</v>
      </c>
      <c r="H140" s="1">
        <v>29.0</v>
      </c>
      <c r="I140" s="4" t="str">
        <f>IFERROR(VLOOKUP(C140,Merchants!$A$2:$D$41,2,FALSE),"Merchant not found")</f>
        <v>Merchant_019</v>
      </c>
      <c r="J140" s="4" t="str">
        <f>IFERROR(VLOOKUP(C140,Merchants!$A$2:$D$41,3,FALSE),"Merchant not found")</f>
        <v>grocery</v>
      </c>
      <c r="K140" s="4" t="str">
        <f>IFERROR(VLOOKUP(C140,Merchants!$A$2:$D$41,4,FALSE),"Merchant not found")</f>
        <v>North</v>
      </c>
      <c r="L140" s="4">
        <f>IFERROR(HLOOKUP(F140,Fee_Lookup!$B$1:$E$2,2,FALSE),"Fee not found")</f>
        <v>0</v>
      </c>
      <c r="M140" s="5">
        <f t="shared" si="1"/>
        <v>46024</v>
      </c>
      <c r="N140" s="4" t="str">
        <f t="shared" si="2"/>
        <v>19|2026-01-02</v>
      </c>
      <c r="O140" s="4">
        <f>IFERROR(VLOOKUP(N140,Merchant_Daily!$A:$B,2,FALSE),0)</f>
        <v>149</v>
      </c>
      <c r="P140" s="4" t="str">
        <f t="shared" si="3"/>
        <v>Standard Merchant Day</v>
      </c>
    </row>
    <row r="141">
      <c r="A141" s="1" t="s">
        <v>711</v>
      </c>
      <c r="B141" s="1">
        <v>51.0</v>
      </c>
      <c r="C141" s="1">
        <v>7.0</v>
      </c>
      <c r="D141" s="3">
        <v>46046.10208333333</v>
      </c>
      <c r="E141" s="1">
        <v>499.0</v>
      </c>
      <c r="F141" s="1" t="s">
        <v>46</v>
      </c>
      <c r="G141" s="1" t="s">
        <v>27</v>
      </c>
      <c r="H141" s="1">
        <v>56.0</v>
      </c>
      <c r="I141" s="4" t="str">
        <f>IFERROR(VLOOKUP(C141,Merchants!$A$2:$D$41,2,FALSE),"Merchant not found")</f>
        <v>Merchant_007</v>
      </c>
      <c r="J141" s="4" t="str">
        <f>IFERROR(VLOOKUP(C141,Merchants!$A$2:$D$41,3,FALSE),"Merchant not found")</f>
        <v>food_delivery</v>
      </c>
      <c r="K141" s="4" t="str">
        <f>IFERROR(VLOOKUP(C141,Merchants!$A$2:$D$41,4,FALSE),"Merchant not found")</f>
        <v>East</v>
      </c>
      <c r="L141" s="4">
        <f>IFERROR(HLOOKUP(F141,Fee_Lookup!$B$1:$E$2,2,FALSE),"Fee not found")</f>
        <v>0.01</v>
      </c>
      <c r="M141" s="5">
        <f t="shared" si="1"/>
        <v>46046</v>
      </c>
      <c r="N141" s="4" t="str">
        <f t="shared" si="2"/>
        <v>7|2026-01-24</v>
      </c>
      <c r="O141" s="4">
        <f>IFERROR(VLOOKUP(N141,Merchant_Daily!$A:$B,2,FALSE),0)</f>
        <v>1298</v>
      </c>
      <c r="P141" s="4" t="str">
        <f t="shared" si="3"/>
        <v>Standard Merchant Day</v>
      </c>
    </row>
    <row r="142">
      <c r="A142" s="1" t="s">
        <v>712</v>
      </c>
      <c r="B142" s="1">
        <v>15.0</v>
      </c>
      <c r="C142" s="1">
        <v>3.0</v>
      </c>
      <c r="D142" s="3">
        <v>46028.92986111111</v>
      </c>
      <c r="E142" s="1">
        <v>799.0</v>
      </c>
      <c r="F142" s="1" t="s">
        <v>35</v>
      </c>
      <c r="G142" s="1" t="s">
        <v>27</v>
      </c>
      <c r="H142" s="1">
        <v>41.0</v>
      </c>
      <c r="I142" s="4" t="str">
        <f>IFERROR(VLOOKUP(C142,Merchants!$A$2:$D$41,2,FALSE),"Merchant not found")</f>
        <v>Merchant_003</v>
      </c>
      <c r="J142" s="4" t="str">
        <f>IFERROR(VLOOKUP(C142,Merchants!$A$2:$D$41,3,FALSE),"Merchant not found")</f>
        <v>grocery</v>
      </c>
      <c r="K142" s="4" t="str">
        <f>IFERROR(VLOOKUP(C142,Merchants!$A$2:$D$41,4,FALSE),"Merchant not found")</f>
        <v>East</v>
      </c>
      <c r="L142" s="4">
        <f>IFERROR(HLOOKUP(F142,Fee_Lookup!$B$1:$E$2,2,FALSE),"Fee not found")</f>
        <v>0</v>
      </c>
      <c r="M142" s="5">
        <f t="shared" si="1"/>
        <v>46028</v>
      </c>
      <c r="N142" s="4" t="str">
        <f t="shared" si="2"/>
        <v>3|2026-01-06</v>
      </c>
      <c r="O142" s="4">
        <f>IFERROR(VLOOKUP(N142,Merchant_Daily!$A:$B,2,FALSE),0)</f>
        <v>898</v>
      </c>
      <c r="P142" s="4" t="str">
        <f t="shared" si="3"/>
        <v>Standard Merchant Day</v>
      </c>
    </row>
    <row r="143">
      <c r="A143" s="1" t="s">
        <v>713</v>
      </c>
      <c r="B143" s="1">
        <v>184.0</v>
      </c>
      <c r="C143" s="1">
        <v>24.0</v>
      </c>
      <c r="D143" s="3">
        <v>46048.05416666667</v>
      </c>
      <c r="E143" s="1">
        <v>49.0</v>
      </c>
      <c r="F143" s="1" t="s">
        <v>35</v>
      </c>
      <c r="G143" s="1" t="s">
        <v>27</v>
      </c>
      <c r="H143" s="1">
        <v>55.0</v>
      </c>
      <c r="I143" s="4" t="str">
        <f>IFERROR(VLOOKUP(C143,Merchants!$A$2:$D$41,2,FALSE),"Merchant not found")</f>
        <v>Merchant_024</v>
      </c>
      <c r="J143" s="4" t="str">
        <f>IFERROR(VLOOKUP(C143,Merchants!$A$2:$D$41,3,FALSE),"Merchant not found")</f>
        <v>grocery</v>
      </c>
      <c r="K143" s="4" t="str">
        <f>IFERROR(VLOOKUP(C143,Merchants!$A$2:$D$41,4,FALSE),"Merchant not found")</f>
        <v>North</v>
      </c>
      <c r="L143" s="4">
        <f>IFERROR(HLOOKUP(F143,Fee_Lookup!$B$1:$E$2,2,FALSE),"Fee not found")</f>
        <v>0</v>
      </c>
      <c r="M143" s="5">
        <f t="shared" si="1"/>
        <v>46048</v>
      </c>
      <c r="N143" s="4" t="str">
        <f t="shared" si="2"/>
        <v>24|2026-01-26</v>
      </c>
      <c r="O143" s="4">
        <f>IFERROR(VLOOKUP(N143,Merchant_Daily!$A:$B,2,FALSE),0)</f>
        <v>348</v>
      </c>
      <c r="P143" s="4" t="str">
        <f t="shared" si="3"/>
        <v>Standard Merchant Day</v>
      </c>
    </row>
    <row r="144">
      <c r="A144" s="1" t="s">
        <v>714</v>
      </c>
      <c r="B144" s="1">
        <v>211.0</v>
      </c>
      <c r="C144" s="1">
        <v>37.0</v>
      </c>
      <c r="D144" s="3">
        <v>46027.31458333333</v>
      </c>
      <c r="E144" s="1">
        <v>1499.0</v>
      </c>
      <c r="F144" s="1" t="s">
        <v>35</v>
      </c>
      <c r="G144" s="1" t="s">
        <v>27</v>
      </c>
      <c r="H144" s="1">
        <v>87.0</v>
      </c>
      <c r="I144" s="4" t="str">
        <f>IFERROR(VLOOKUP(C144,Merchants!$A$2:$D$41,2,FALSE),"Merchant not found")</f>
        <v>Merchant_037</v>
      </c>
      <c r="J144" s="4" t="str">
        <f>IFERROR(VLOOKUP(C144,Merchants!$A$2:$D$41,3,FALSE),"Merchant not found")</f>
        <v>entertainment</v>
      </c>
      <c r="K144" s="4" t="str">
        <f>IFERROR(VLOOKUP(C144,Merchants!$A$2:$D$41,4,FALSE),"Merchant not found")</f>
        <v>South</v>
      </c>
      <c r="L144" s="4">
        <f>IFERROR(HLOOKUP(F144,Fee_Lookup!$B$1:$E$2,2,FALSE),"Fee not found")</f>
        <v>0</v>
      </c>
      <c r="M144" s="5">
        <f t="shared" si="1"/>
        <v>46027</v>
      </c>
      <c r="N144" s="4" t="str">
        <f t="shared" si="2"/>
        <v>37|2026-01-05</v>
      </c>
      <c r="O144" s="4">
        <f>IFERROR(VLOOKUP(N144,Merchant_Daily!$A:$B,2,FALSE),0)</f>
        <v>1499</v>
      </c>
      <c r="P144" s="4" t="str">
        <f t="shared" si="3"/>
        <v>Standard Merchant Day</v>
      </c>
    </row>
    <row r="145">
      <c r="A145" s="1" t="s">
        <v>715</v>
      </c>
      <c r="B145" s="1">
        <v>90.0</v>
      </c>
      <c r="C145" s="1">
        <v>6.0</v>
      </c>
      <c r="D145" s="3">
        <v>46048.21527777778</v>
      </c>
      <c r="E145" s="1">
        <v>49.0</v>
      </c>
      <c r="F145" s="1" t="s">
        <v>46</v>
      </c>
      <c r="G145" s="1" t="s">
        <v>27</v>
      </c>
      <c r="H145" s="1">
        <v>78.0</v>
      </c>
      <c r="I145" s="4" t="str">
        <f>IFERROR(VLOOKUP(C145,Merchants!$A$2:$D$41,2,FALSE),"Merchant not found")</f>
        <v>Merchant_006</v>
      </c>
      <c r="J145" s="4" t="str">
        <f>IFERROR(VLOOKUP(C145,Merchants!$A$2:$D$41,3,FALSE),"Merchant not found")</f>
        <v>food_delivery</v>
      </c>
      <c r="K145" s="4" t="str">
        <f>IFERROR(VLOOKUP(C145,Merchants!$A$2:$D$41,4,FALSE),"Merchant not found")</f>
        <v>South</v>
      </c>
      <c r="L145" s="4">
        <f>IFERROR(HLOOKUP(F145,Fee_Lookup!$B$1:$E$2,2,FALSE),"Fee not found")</f>
        <v>0.01</v>
      </c>
      <c r="M145" s="5">
        <f t="shared" si="1"/>
        <v>46048</v>
      </c>
      <c r="N145" s="4" t="str">
        <f t="shared" si="2"/>
        <v>6|2026-01-26</v>
      </c>
      <c r="O145" s="4">
        <f>IFERROR(VLOOKUP(N145,Merchant_Daily!$A:$B,2,FALSE),0)</f>
        <v>897</v>
      </c>
      <c r="P145" s="4" t="str">
        <f t="shared" si="3"/>
        <v>Standard Merchant Day</v>
      </c>
    </row>
    <row r="146">
      <c r="A146" s="1" t="s">
        <v>716</v>
      </c>
      <c r="B146" s="1">
        <v>350.0</v>
      </c>
      <c r="C146" s="1">
        <v>16.0</v>
      </c>
      <c r="D146" s="3">
        <v>46050.527083333334</v>
      </c>
      <c r="E146" s="1">
        <v>49.0</v>
      </c>
      <c r="F146" s="1" t="s">
        <v>35</v>
      </c>
      <c r="G146" s="1" t="s">
        <v>27</v>
      </c>
      <c r="H146" s="1">
        <v>63.0</v>
      </c>
      <c r="I146" s="4" t="str">
        <f>IFERROR(VLOOKUP(C146,Merchants!$A$2:$D$41,2,FALSE),"Merchant not found")</f>
        <v>Merchant_016</v>
      </c>
      <c r="J146" s="4" t="str">
        <f>IFERROR(VLOOKUP(C146,Merchants!$A$2:$D$41,3,FALSE),"Merchant not found")</f>
        <v>bill_payment</v>
      </c>
      <c r="K146" s="4" t="str">
        <f>IFERROR(VLOOKUP(C146,Merchants!$A$2:$D$41,4,FALSE),"Merchant not found")</f>
        <v>West</v>
      </c>
      <c r="L146" s="4">
        <f>IFERROR(HLOOKUP(F146,Fee_Lookup!$B$1:$E$2,2,FALSE),"Fee not found")</f>
        <v>0</v>
      </c>
      <c r="M146" s="5">
        <f t="shared" si="1"/>
        <v>46050</v>
      </c>
      <c r="N146" s="4" t="str">
        <f t="shared" si="2"/>
        <v>16|2026-01-28</v>
      </c>
      <c r="O146" s="4">
        <f>IFERROR(VLOOKUP(N146,Merchant_Daily!$A:$B,2,FALSE),0)</f>
        <v>49</v>
      </c>
      <c r="P146" s="4" t="str">
        <f t="shared" si="3"/>
        <v>Standard Merchant Day</v>
      </c>
    </row>
    <row r="147">
      <c r="A147" s="1" t="s">
        <v>717</v>
      </c>
      <c r="B147" s="1">
        <v>119.0</v>
      </c>
      <c r="C147" s="1">
        <v>30.0</v>
      </c>
      <c r="D147" s="3">
        <v>46052.75625</v>
      </c>
      <c r="E147" s="1">
        <v>49.0</v>
      </c>
      <c r="F147" s="1" t="s">
        <v>46</v>
      </c>
      <c r="G147" s="1" t="s">
        <v>27</v>
      </c>
      <c r="H147" s="1">
        <v>81.0</v>
      </c>
      <c r="I147" s="4" t="str">
        <f>IFERROR(VLOOKUP(C147,Merchants!$A$2:$D$41,2,FALSE),"Merchant not found")</f>
        <v>Merchant_030</v>
      </c>
      <c r="J147" s="4" t="str">
        <f>IFERROR(VLOOKUP(C147,Merchants!$A$2:$D$41,3,FALSE),"Merchant not found")</f>
        <v>travel</v>
      </c>
      <c r="K147" s="4" t="str">
        <f>IFERROR(VLOOKUP(C147,Merchants!$A$2:$D$41,4,FALSE),"Merchant not found")</f>
        <v>West</v>
      </c>
      <c r="L147" s="4">
        <f>IFERROR(HLOOKUP(F147,Fee_Lookup!$B$1:$E$2,2,FALSE),"Fee not found")</f>
        <v>0.01</v>
      </c>
      <c r="M147" s="5">
        <f t="shared" si="1"/>
        <v>46052</v>
      </c>
      <c r="N147" s="4" t="str">
        <f t="shared" si="2"/>
        <v>30|2026-01-30</v>
      </c>
      <c r="O147" s="4">
        <f>IFERROR(VLOOKUP(N147,Merchant_Daily!$A:$B,2,FALSE),0)</f>
        <v>49</v>
      </c>
      <c r="P147" s="4" t="str">
        <f t="shared" si="3"/>
        <v>Standard Merchant Day</v>
      </c>
    </row>
    <row r="148">
      <c r="A148" s="1" t="s">
        <v>718</v>
      </c>
      <c r="B148" s="1">
        <v>342.0</v>
      </c>
      <c r="C148" s="1">
        <v>1.0</v>
      </c>
      <c r="D148" s="3">
        <v>46031.59444444445</v>
      </c>
      <c r="E148" s="1">
        <v>49.0</v>
      </c>
      <c r="F148" s="1" t="s">
        <v>35</v>
      </c>
      <c r="G148" s="1" t="s">
        <v>27</v>
      </c>
      <c r="H148" s="1">
        <v>59.0</v>
      </c>
      <c r="I148" s="4" t="str">
        <f>IFERROR(VLOOKUP(C148,Merchants!$A$2:$D$41,2,FALSE),"Merchant not found")</f>
        <v>Merchant_001</v>
      </c>
      <c r="J148" s="4" t="str">
        <f>IFERROR(VLOOKUP(C148,Merchants!$A$2:$D$41,3,FALSE),"Merchant not found")</f>
        <v>ecommerce</v>
      </c>
      <c r="K148" s="4" t="str">
        <f>IFERROR(VLOOKUP(C148,Merchants!$A$2:$D$41,4,FALSE),"Merchant not found")</f>
        <v>South</v>
      </c>
      <c r="L148" s="4">
        <f>IFERROR(HLOOKUP(F148,Fee_Lookup!$B$1:$E$2,2,FALSE),"Fee not found")</f>
        <v>0</v>
      </c>
      <c r="M148" s="5">
        <f t="shared" si="1"/>
        <v>46031</v>
      </c>
      <c r="N148" s="4" t="str">
        <f t="shared" si="2"/>
        <v>1|2026-01-09</v>
      </c>
      <c r="O148" s="4">
        <f>IFERROR(VLOOKUP(N148,Merchant_Daily!$A:$B,2,FALSE),0)</f>
        <v>5048</v>
      </c>
      <c r="P148" s="4" t="str">
        <f t="shared" si="3"/>
        <v>High-Value Merchant Day</v>
      </c>
    </row>
    <row r="149">
      <c r="A149" s="1" t="s">
        <v>719</v>
      </c>
      <c r="B149" s="1">
        <v>280.0</v>
      </c>
      <c r="C149" s="1">
        <v>11.0</v>
      </c>
      <c r="D149" s="3">
        <v>46051.404861111114</v>
      </c>
      <c r="E149" s="1">
        <v>149.0</v>
      </c>
      <c r="F149" s="1" t="s">
        <v>35</v>
      </c>
      <c r="G149" s="1" t="s">
        <v>34</v>
      </c>
      <c r="H149" s="1">
        <v>9.0</v>
      </c>
      <c r="I149" s="4" t="str">
        <f>IFERROR(VLOOKUP(C149,Merchants!$A$2:$D$41,2,FALSE),"Merchant not found")</f>
        <v>Merchant_011</v>
      </c>
      <c r="J149" s="4" t="str">
        <f>IFERROR(VLOOKUP(C149,Merchants!$A$2:$D$41,3,FALSE),"Merchant not found")</f>
        <v>ecommerce</v>
      </c>
      <c r="K149" s="4" t="str">
        <f>IFERROR(VLOOKUP(C149,Merchants!$A$2:$D$41,4,FALSE),"Merchant not found")</f>
        <v>North</v>
      </c>
      <c r="L149" s="4">
        <f>IFERROR(HLOOKUP(F149,Fee_Lookup!$B$1:$E$2,2,FALSE),"Fee not found")</f>
        <v>0</v>
      </c>
      <c r="M149" s="5">
        <f t="shared" si="1"/>
        <v>46051</v>
      </c>
      <c r="N149" s="4" t="str">
        <f t="shared" si="2"/>
        <v>11|2026-01-29</v>
      </c>
      <c r="O149" s="4">
        <f>IFERROR(VLOOKUP(N149,Merchant_Daily!$A:$B,2,FALSE),0)</f>
        <v>149</v>
      </c>
      <c r="P149" s="4" t="str">
        <f t="shared" si="3"/>
        <v>Standard Merchant Day</v>
      </c>
    </row>
    <row r="150">
      <c r="A150" s="1" t="s">
        <v>720</v>
      </c>
      <c r="B150" s="1">
        <v>154.0</v>
      </c>
      <c r="C150" s="1">
        <v>28.0</v>
      </c>
      <c r="D150" s="3">
        <v>46037.48402777778</v>
      </c>
      <c r="E150" s="1">
        <v>2999.0</v>
      </c>
      <c r="F150" s="1" t="s">
        <v>47</v>
      </c>
      <c r="G150" s="1" t="s">
        <v>27</v>
      </c>
      <c r="H150" s="1">
        <v>88.0</v>
      </c>
      <c r="I150" s="4" t="str">
        <f>IFERROR(VLOOKUP(C150,Merchants!$A$2:$D$41,2,FALSE),"Merchant not found")</f>
        <v>Merchant_028</v>
      </c>
      <c r="J150" s="4" t="str">
        <f>IFERROR(VLOOKUP(C150,Merchants!$A$2:$D$41,3,FALSE),"Merchant not found")</f>
        <v>ecommerce</v>
      </c>
      <c r="K150" s="4" t="str">
        <f>IFERROR(VLOOKUP(C150,Merchants!$A$2:$D$41,4,FALSE),"Merchant not found")</f>
        <v>South</v>
      </c>
      <c r="L150" s="4">
        <f>IFERROR(HLOOKUP(F150,Fee_Lookup!$B$1:$E$2,2,FALSE),"Fee not found")</f>
        <v>0.015</v>
      </c>
      <c r="M150" s="5">
        <f t="shared" si="1"/>
        <v>46037</v>
      </c>
      <c r="N150" s="4" t="str">
        <f t="shared" si="2"/>
        <v>28|2026-01-15</v>
      </c>
      <c r="O150" s="4">
        <f>IFERROR(VLOOKUP(N150,Merchant_Daily!$A:$B,2,FALSE),0)</f>
        <v>2999</v>
      </c>
      <c r="P150" s="4" t="str">
        <f t="shared" si="3"/>
        <v>Standard Merchant Day</v>
      </c>
    </row>
    <row r="151">
      <c r="A151" s="1" t="s">
        <v>721</v>
      </c>
      <c r="B151" s="1">
        <v>155.0</v>
      </c>
      <c r="C151" s="1">
        <v>13.0</v>
      </c>
      <c r="D151" s="3">
        <v>46031.620833333334</v>
      </c>
      <c r="E151" s="1">
        <v>149.0</v>
      </c>
      <c r="F151" s="1" t="s">
        <v>35</v>
      </c>
      <c r="G151" s="1" t="s">
        <v>27</v>
      </c>
      <c r="H151" s="1">
        <v>49.0</v>
      </c>
      <c r="I151" s="4" t="str">
        <f>IFERROR(VLOOKUP(C151,Merchants!$A$2:$D$41,2,FALSE),"Merchant not found")</f>
        <v>Merchant_013</v>
      </c>
      <c r="J151" s="4" t="str">
        <f>IFERROR(VLOOKUP(C151,Merchants!$A$2:$D$41,3,FALSE),"Merchant not found")</f>
        <v>travel</v>
      </c>
      <c r="K151" s="4" t="str">
        <f>IFERROR(VLOOKUP(C151,Merchants!$A$2:$D$41,4,FALSE),"Merchant not found")</f>
        <v>East</v>
      </c>
      <c r="L151" s="4">
        <f>IFERROR(HLOOKUP(F151,Fee_Lookup!$B$1:$E$2,2,FALSE),"Fee not found")</f>
        <v>0</v>
      </c>
      <c r="M151" s="5">
        <f t="shared" si="1"/>
        <v>46031</v>
      </c>
      <c r="N151" s="4" t="str">
        <f t="shared" si="2"/>
        <v>13|2026-01-09</v>
      </c>
      <c r="O151" s="4">
        <f>IFERROR(VLOOKUP(N151,Merchant_Daily!$A:$B,2,FALSE),0)</f>
        <v>198</v>
      </c>
      <c r="P151" s="4" t="str">
        <f t="shared" si="3"/>
        <v>Standard Merchant Day</v>
      </c>
    </row>
    <row r="152">
      <c r="A152" s="1" t="s">
        <v>722</v>
      </c>
      <c r="B152" s="1">
        <v>122.0</v>
      </c>
      <c r="C152" s="1">
        <v>25.0</v>
      </c>
      <c r="D152" s="3">
        <v>46050.629166666666</v>
      </c>
      <c r="E152" s="1">
        <v>299.0</v>
      </c>
      <c r="F152" s="1" t="s">
        <v>35</v>
      </c>
      <c r="G152" s="1" t="s">
        <v>27</v>
      </c>
      <c r="H152" s="1">
        <v>73.0</v>
      </c>
      <c r="I152" s="4" t="str">
        <f>IFERROR(VLOOKUP(C152,Merchants!$A$2:$D$41,2,FALSE),"Merchant not found")</f>
        <v>Merchant_025</v>
      </c>
      <c r="J152" s="4" t="str">
        <f>IFERROR(VLOOKUP(C152,Merchants!$A$2:$D$41,3,FALSE),"Merchant not found")</f>
        <v>travel</v>
      </c>
      <c r="K152" s="4" t="str">
        <f>IFERROR(VLOOKUP(C152,Merchants!$A$2:$D$41,4,FALSE),"Merchant not found")</f>
        <v>South</v>
      </c>
      <c r="L152" s="4">
        <f>IFERROR(HLOOKUP(F152,Fee_Lookup!$B$1:$E$2,2,FALSE),"Fee not found")</f>
        <v>0</v>
      </c>
      <c r="M152" s="5">
        <f t="shared" si="1"/>
        <v>46050</v>
      </c>
      <c r="N152" s="4" t="str">
        <f t="shared" si="2"/>
        <v>25|2026-01-28</v>
      </c>
      <c r="O152" s="4">
        <f>IFERROR(VLOOKUP(N152,Merchant_Daily!$A:$B,2,FALSE),0)</f>
        <v>299</v>
      </c>
      <c r="P152" s="4" t="str">
        <f t="shared" si="3"/>
        <v>Standard Merchant Day</v>
      </c>
    </row>
    <row r="153">
      <c r="A153" s="1" t="s">
        <v>723</v>
      </c>
      <c r="B153" s="1">
        <v>152.0</v>
      </c>
      <c r="C153" s="1">
        <v>2.0</v>
      </c>
      <c r="D153" s="3">
        <v>46034.7625</v>
      </c>
      <c r="E153" s="1">
        <v>49.0</v>
      </c>
      <c r="F153" s="1" t="s">
        <v>35</v>
      </c>
      <c r="G153" s="1" t="s">
        <v>27</v>
      </c>
      <c r="H153" s="1">
        <v>84.0</v>
      </c>
      <c r="I153" s="4" t="str">
        <f>IFERROR(VLOOKUP(C153,Merchants!$A$2:$D$41,2,FALSE),"Merchant not found")</f>
        <v>Merchant_002</v>
      </c>
      <c r="J153" s="4" t="str">
        <f>IFERROR(VLOOKUP(C153,Merchants!$A$2:$D$41,3,FALSE),"Merchant not found")</f>
        <v>grocery</v>
      </c>
      <c r="K153" s="4" t="str">
        <f>IFERROR(VLOOKUP(C153,Merchants!$A$2:$D$41,4,FALSE),"Merchant not found")</f>
        <v>West</v>
      </c>
      <c r="L153" s="4">
        <f>IFERROR(HLOOKUP(F153,Fee_Lookup!$B$1:$E$2,2,FALSE),"Fee not found")</f>
        <v>0</v>
      </c>
      <c r="M153" s="5">
        <f t="shared" si="1"/>
        <v>46034</v>
      </c>
      <c r="N153" s="4" t="str">
        <f t="shared" si="2"/>
        <v>2|2026-01-12</v>
      </c>
      <c r="O153" s="4">
        <f>IFERROR(VLOOKUP(N153,Merchant_Daily!$A:$B,2,FALSE),0)</f>
        <v>348</v>
      </c>
      <c r="P153" s="4" t="str">
        <f t="shared" si="3"/>
        <v>Standard Merchant Day</v>
      </c>
    </row>
    <row r="154">
      <c r="A154" s="1" t="s">
        <v>724</v>
      </c>
      <c r="B154" s="1">
        <v>290.0</v>
      </c>
      <c r="C154" s="1">
        <v>4.0</v>
      </c>
      <c r="D154" s="3">
        <v>46035.333333333336</v>
      </c>
      <c r="E154" s="1">
        <v>149.0</v>
      </c>
      <c r="F154" s="1" t="s">
        <v>35</v>
      </c>
      <c r="G154" s="1" t="s">
        <v>27</v>
      </c>
      <c r="H154" s="1">
        <v>77.0</v>
      </c>
      <c r="I154" s="4" t="str">
        <f>IFERROR(VLOOKUP(C154,Merchants!$A$2:$D$41,2,FALSE),"Merchant not found")</f>
        <v>Merchant_004</v>
      </c>
      <c r="J154" s="4" t="str">
        <f>IFERROR(VLOOKUP(C154,Merchants!$A$2:$D$41,3,FALSE),"Merchant not found")</f>
        <v>ecommerce</v>
      </c>
      <c r="K154" s="4" t="str">
        <f>IFERROR(VLOOKUP(C154,Merchants!$A$2:$D$41,4,FALSE),"Merchant not found")</f>
        <v>East</v>
      </c>
      <c r="L154" s="4">
        <f>IFERROR(HLOOKUP(F154,Fee_Lookup!$B$1:$E$2,2,FALSE),"Fee not found")</f>
        <v>0</v>
      </c>
      <c r="M154" s="5">
        <f t="shared" si="1"/>
        <v>46035</v>
      </c>
      <c r="N154" s="4" t="str">
        <f t="shared" si="2"/>
        <v>4|2026-01-13</v>
      </c>
      <c r="O154" s="4">
        <f>IFERROR(VLOOKUP(N154,Merchant_Daily!$A:$B,2,FALSE),0)</f>
        <v>948</v>
      </c>
      <c r="P154" s="4" t="str">
        <f t="shared" si="3"/>
        <v>Standard Merchant Day</v>
      </c>
    </row>
    <row r="155">
      <c r="A155" s="1" t="s">
        <v>725</v>
      </c>
      <c r="B155" s="1">
        <v>147.0</v>
      </c>
      <c r="C155" s="1">
        <v>15.0</v>
      </c>
      <c r="D155" s="3">
        <v>46046.66180555556</v>
      </c>
      <c r="E155" s="1">
        <v>49.0</v>
      </c>
      <c r="F155" s="1" t="s">
        <v>26</v>
      </c>
      <c r="G155" s="1" t="s">
        <v>27</v>
      </c>
      <c r="H155" s="1">
        <v>77.0</v>
      </c>
      <c r="I155" s="4" t="str">
        <f>IFERROR(VLOOKUP(C155,Merchants!$A$2:$D$41,2,FALSE),"Merchant not found")</f>
        <v>Merchant_015</v>
      </c>
      <c r="J155" s="4" t="str">
        <f>IFERROR(VLOOKUP(C155,Merchants!$A$2:$D$41,3,FALSE),"Merchant not found")</f>
        <v>travel</v>
      </c>
      <c r="K155" s="4" t="str">
        <f>IFERROR(VLOOKUP(C155,Merchants!$A$2:$D$41,4,FALSE),"Merchant not found")</f>
        <v>North</v>
      </c>
      <c r="L155" s="4">
        <f>IFERROR(HLOOKUP(F155,Fee_Lookup!$B$1:$E$2,2,FALSE),"Fee not found")</f>
        <v>0.005</v>
      </c>
      <c r="M155" s="5">
        <f t="shared" si="1"/>
        <v>46046</v>
      </c>
      <c r="N155" s="4" t="str">
        <f t="shared" si="2"/>
        <v>15|2026-01-24</v>
      </c>
      <c r="O155" s="4">
        <f>IFERROR(VLOOKUP(N155,Merchant_Daily!$A:$B,2,FALSE),0)</f>
        <v>148</v>
      </c>
      <c r="P155" s="4" t="str">
        <f t="shared" si="3"/>
        <v>Standard Merchant Day</v>
      </c>
    </row>
    <row r="156">
      <c r="A156" s="1" t="s">
        <v>726</v>
      </c>
      <c r="B156" s="1">
        <v>326.0</v>
      </c>
      <c r="C156" s="1">
        <v>13.0</v>
      </c>
      <c r="D156" s="3">
        <v>46048.46805555555</v>
      </c>
      <c r="E156" s="1">
        <v>299.0</v>
      </c>
      <c r="F156" s="1" t="s">
        <v>47</v>
      </c>
      <c r="G156" s="1" t="s">
        <v>27</v>
      </c>
      <c r="H156" s="1">
        <v>79.0</v>
      </c>
      <c r="I156" s="4" t="str">
        <f>IFERROR(VLOOKUP(C156,Merchants!$A$2:$D$41,2,FALSE),"Merchant not found")</f>
        <v>Merchant_013</v>
      </c>
      <c r="J156" s="4" t="str">
        <f>IFERROR(VLOOKUP(C156,Merchants!$A$2:$D$41,3,FALSE),"Merchant not found")</f>
        <v>travel</v>
      </c>
      <c r="K156" s="4" t="str">
        <f>IFERROR(VLOOKUP(C156,Merchants!$A$2:$D$41,4,FALSE),"Merchant not found")</f>
        <v>East</v>
      </c>
      <c r="L156" s="4">
        <f>IFERROR(HLOOKUP(F156,Fee_Lookup!$B$1:$E$2,2,FALSE),"Fee not found")</f>
        <v>0.015</v>
      </c>
      <c r="M156" s="5">
        <f t="shared" si="1"/>
        <v>46048</v>
      </c>
      <c r="N156" s="4" t="str">
        <f t="shared" si="2"/>
        <v>13|2026-01-26</v>
      </c>
      <c r="O156" s="4">
        <f>IFERROR(VLOOKUP(N156,Merchant_Daily!$A:$B,2,FALSE),0)</f>
        <v>299</v>
      </c>
      <c r="P156" s="4" t="str">
        <f t="shared" si="3"/>
        <v>Standard Merchant Day</v>
      </c>
    </row>
    <row r="157">
      <c r="A157" s="1" t="s">
        <v>727</v>
      </c>
      <c r="B157" s="1">
        <v>338.0</v>
      </c>
      <c r="C157" s="1">
        <v>9.0</v>
      </c>
      <c r="D157" s="3">
        <v>46031.90833333333</v>
      </c>
      <c r="E157" s="1">
        <v>99.0</v>
      </c>
      <c r="F157" s="1" t="s">
        <v>46</v>
      </c>
      <c r="G157" s="1" t="s">
        <v>27</v>
      </c>
      <c r="H157" s="1">
        <v>80.0</v>
      </c>
      <c r="I157" s="4" t="str">
        <f>IFERROR(VLOOKUP(C157,Merchants!$A$2:$D$41,2,FALSE),"Merchant not found")</f>
        <v>Merchant_009</v>
      </c>
      <c r="J157" s="4" t="str">
        <f>IFERROR(VLOOKUP(C157,Merchants!$A$2:$D$41,3,FALSE),"Merchant not found")</f>
        <v>ecommerce</v>
      </c>
      <c r="K157" s="4" t="str">
        <f>IFERROR(VLOOKUP(C157,Merchants!$A$2:$D$41,4,FALSE),"Merchant not found")</f>
        <v>North</v>
      </c>
      <c r="L157" s="4">
        <f>IFERROR(HLOOKUP(F157,Fee_Lookup!$B$1:$E$2,2,FALSE),"Fee not found")</f>
        <v>0.01</v>
      </c>
      <c r="M157" s="5">
        <f t="shared" si="1"/>
        <v>46031</v>
      </c>
      <c r="N157" s="4" t="str">
        <f t="shared" si="2"/>
        <v>9|2026-01-09</v>
      </c>
      <c r="O157" s="4">
        <f>IFERROR(VLOOKUP(N157,Merchant_Daily!$A:$B,2,FALSE),0)</f>
        <v>99</v>
      </c>
      <c r="P157" s="4" t="str">
        <f t="shared" si="3"/>
        <v>Standard Merchant Day</v>
      </c>
    </row>
    <row r="158">
      <c r="A158" s="1" t="s">
        <v>728</v>
      </c>
      <c r="B158" s="1">
        <v>21.0</v>
      </c>
      <c r="C158" s="1">
        <v>20.0</v>
      </c>
      <c r="D158" s="3">
        <v>46026.861805555556</v>
      </c>
      <c r="E158" s="1">
        <v>2999.0</v>
      </c>
      <c r="F158" s="1" t="s">
        <v>35</v>
      </c>
      <c r="G158" s="1" t="s">
        <v>27</v>
      </c>
      <c r="H158" s="1">
        <v>100.0</v>
      </c>
      <c r="I158" s="4" t="str">
        <f>IFERROR(VLOOKUP(C158,Merchants!$A$2:$D$41,2,FALSE),"Merchant not found")</f>
        <v>Merchant_020</v>
      </c>
      <c r="J158" s="4" t="str">
        <f>IFERROR(VLOOKUP(C158,Merchants!$A$2:$D$41,3,FALSE),"Merchant not found")</f>
        <v>food_delivery</v>
      </c>
      <c r="K158" s="4" t="str">
        <f>IFERROR(VLOOKUP(C158,Merchants!$A$2:$D$41,4,FALSE),"Merchant not found")</f>
        <v>East</v>
      </c>
      <c r="L158" s="4">
        <f>IFERROR(HLOOKUP(F158,Fee_Lookup!$B$1:$E$2,2,FALSE),"Fee not found")</f>
        <v>0</v>
      </c>
      <c r="M158" s="5">
        <f t="shared" si="1"/>
        <v>46026</v>
      </c>
      <c r="N158" s="4" t="str">
        <f t="shared" si="2"/>
        <v>20|2026-01-04</v>
      </c>
      <c r="O158" s="4">
        <f>IFERROR(VLOOKUP(N158,Merchant_Daily!$A:$B,2,FALSE),0)</f>
        <v>2999</v>
      </c>
      <c r="P158" s="4" t="str">
        <f t="shared" si="3"/>
        <v>Standard Merchant Day</v>
      </c>
    </row>
    <row r="159">
      <c r="A159" s="1" t="s">
        <v>729</v>
      </c>
      <c r="B159" s="1">
        <v>187.0</v>
      </c>
      <c r="C159" s="1">
        <v>9.0</v>
      </c>
      <c r="D159" s="3">
        <v>46037.06736111111</v>
      </c>
      <c r="E159" s="1">
        <v>49.0</v>
      </c>
      <c r="F159" s="1" t="s">
        <v>46</v>
      </c>
      <c r="G159" s="1" t="s">
        <v>30</v>
      </c>
      <c r="H159" s="1">
        <v>11.0</v>
      </c>
      <c r="I159" s="4" t="str">
        <f>IFERROR(VLOOKUP(C159,Merchants!$A$2:$D$41,2,FALSE),"Merchant not found")</f>
        <v>Merchant_009</v>
      </c>
      <c r="J159" s="4" t="str">
        <f>IFERROR(VLOOKUP(C159,Merchants!$A$2:$D$41,3,FALSE),"Merchant not found")</f>
        <v>ecommerce</v>
      </c>
      <c r="K159" s="4" t="str">
        <f>IFERROR(VLOOKUP(C159,Merchants!$A$2:$D$41,4,FALSE),"Merchant not found")</f>
        <v>North</v>
      </c>
      <c r="L159" s="4">
        <f>IFERROR(HLOOKUP(F159,Fee_Lookup!$B$1:$E$2,2,FALSE),"Fee not found")</f>
        <v>0.01</v>
      </c>
      <c r="M159" s="5">
        <f t="shared" si="1"/>
        <v>46037</v>
      </c>
      <c r="N159" s="4" t="str">
        <f t="shared" si="2"/>
        <v>9|2026-01-15</v>
      </c>
      <c r="O159" s="4">
        <f>IFERROR(VLOOKUP(N159,Merchant_Daily!$A:$B,2,FALSE),0)</f>
        <v>148</v>
      </c>
      <c r="P159" s="4" t="str">
        <f t="shared" si="3"/>
        <v>Standard Merchant Day</v>
      </c>
    </row>
    <row r="160">
      <c r="A160" s="1" t="s">
        <v>730</v>
      </c>
      <c r="B160" s="1">
        <v>213.0</v>
      </c>
      <c r="C160" s="1">
        <v>12.0</v>
      </c>
      <c r="D160" s="3">
        <v>46052.38888888889</v>
      </c>
      <c r="E160" s="1">
        <v>4999.0</v>
      </c>
      <c r="F160" s="1" t="s">
        <v>35</v>
      </c>
      <c r="G160" s="1" t="s">
        <v>27</v>
      </c>
      <c r="H160" s="1">
        <v>25.0</v>
      </c>
      <c r="I160" s="4" t="str">
        <f>IFERROR(VLOOKUP(C160,Merchants!$A$2:$D$41,2,FALSE),"Merchant not found")</f>
        <v>Merchant_012</v>
      </c>
      <c r="J160" s="4" t="str">
        <f>IFERROR(VLOOKUP(C160,Merchants!$A$2:$D$41,3,FALSE),"Merchant not found")</f>
        <v>ecommerce</v>
      </c>
      <c r="K160" s="4" t="str">
        <f>IFERROR(VLOOKUP(C160,Merchants!$A$2:$D$41,4,FALSE),"Merchant not found")</f>
        <v>East</v>
      </c>
      <c r="L160" s="4">
        <f>IFERROR(HLOOKUP(F160,Fee_Lookup!$B$1:$E$2,2,FALSE),"Fee not found")</f>
        <v>0</v>
      </c>
      <c r="M160" s="5">
        <f t="shared" si="1"/>
        <v>46052</v>
      </c>
      <c r="N160" s="4" t="str">
        <f t="shared" si="2"/>
        <v>12|2026-01-30</v>
      </c>
      <c r="O160" s="4">
        <f>IFERROR(VLOOKUP(N160,Merchant_Daily!$A:$B,2,FALSE),0)</f>
        <v>4999</v>
      </c>
      <c r="P160" s="4" t="str">
        <f t="shared" si="3"/>
        <v>Standard Merchant Day</v>
      </c>
    </row>
    <row r="161">
      <c r="A161" s="1" t="s">
        <v>731</v>
      </c>
      <c r="B161" s="1">
        <v>188.0</v>
      </c>
      <c r="C161" s="1">
        <v>34.0</v>
      </c>
      <c r="D161" s="3">
        <v>46027.74722222222</v>
      </c>
      <c r="E161" s="1">
        <v>2999.0</v>
      </c>
      <c r="F161" s="1" t="s">
        <v>35</v>
      </c>
      <c r="G161" s="1" t="s">
        <v>27</v>
      </c>
      <c r="H161" s="1">
        <v>64.0</v>
      </c>
      <c r="I161" s="4" t="str">
        <f>IFERROR(VLOOKUP(C161,Merchants!$A$2:$D$41,2,FALSE),"Merchant not found")</f>
        <v>Merchant_034</v>
      </c>
      <c r="J161" s="4" t="str">
        <f>IFERROR(VLOOKUP(C161,Merchants!$A$2:$D$41,3,FALSE),"Merchant not found")</f>
        <v>travel</v>
      </c>
      <c r="K161" s="4" t="str">
        <f>IFERROR(VLOOKUP(C161,Merchants!$A$2:$D$41,4,FALSE),"Merchant not found")</f>
        <v>South</v>
      </c>
      <c r="L161" s="4">
        <f>IFERROR(HLOOKUP(F161,Fee_Lookup!$B$1:$E$2,2,FALSE),"Fee not found")</f>
        <v>0</v>
      </c>
      <c r="M161" s="5">
        <f t="shared" si="1"/>
        <v>46027</v>
      </c>
      <c r="N161" s="4" t="str">
        <f t="shared" si="2"/>
        <v>34|2026-01-05</v>
      </c>
      <c r="O161" s="4">
        <f>IFERROR(VLOOKUP(N161,Merchant_Daily!$A:$B,2,FALSE),0)</f>
        <v>2999</v>
      </c>
      <c r="P161" s="4" t="str">
        <f t="shared" si="3"/>
        <v>Standard Merchant Day</v>
      </c>
    </row>
    <row r="162">
      <c r="A162" s="1" t="s">
        <v>732</v>
      </c>
      <c r="B162" s="1">
        <v>85.0</v>
      </c>
      <c r="C162" s="1">
        <v>17.0</v>
      </c>
      <c r="D162" s="3">
        <v>46052.37013888889</v>
      </c>
      <c r="E162" s="1">
        <v>499.0</v>
      </c>
      <c r="F162" s="1" t="s">
        <v>35</v>
      </c>
      <c r="G162" s="1" t="s">
        <v>27</v>
      </c>
      <c r="H162" s="1">
        <v>61.0</v>
      </c>
      <c r="I162" s="4" t="str">
        <f>IFERROR(VLOOKUP(C162,Merchants!$A$2:$D$41,2,FALSE),"Merchant not found")</f>
        <v>Merchant_017</v>
      </c>
      <c r="J162" s="4" t="str">
        <f>IFERROR(VLOOKUP(C162,Merchants!$A$2:$D$41,3,FALSE),"Merchant not found")</f>
        <v>grocery</v>
      </c>
      <c r="K162" s="4" t="str">
        <f>IFERROR(VLOOKUP(C162,Merchants!$A$2:$D$41,4,FALSE),"Merchant not found")</f>
        <v>North</v>
      </c>
      <c r="L162" s="4">
        <f>IFERROR(HLOOKUP(F162,Fee_Lookup!$B$1:$E$2,2,FALSE),"Fee not found")</f>
        <v>0</v>
      </c>
      <c r="M162" s="5">
        <f t="shared" si="1"/>
        <v>46052</v>
      </c>
      <c r="N162" s="4" t="str">
        <f t="shared" si="2"/>
        <v>17|2026-01-30</v>
      </c>
      <c r="O162" s="4">
        <f>IFERROR(VLOOKUP(N162,Merchant_Daily!$A:$B,2,FALSE),0)</f>
        <v>499</v>
      </c>
      <c r="P162" s="4" t="str">
        <f t="shared" si="3"/>
        <v>Standard Merchant Day</v>
      </c>
    </row>
    <row r="163">
      <c r="A163" s="1" t="s">
        <v>733</v>
      </c>
      <c r="B163" s="1">
        <v>174.0</v>
      </c>
      <c r="C163" s="1">
        <v>8.0</v>
      </c>
      <c r="D163" s="3">
        <v>46048.407638888886</v>
      </c>
      <c r="E163" s="1">
        <v>299.0</v>
      </c>
      <c r="F163" s="1" t="s">
        <v>47</v>
      </c>
      <c r="G163" s="1" t="s">
        <v>27</v>
      </c>
      <c r="H163" s="1">
        <v>59.0</v>
      </c>
      <c r="I163" s="4" t="str">
        <f>IFERROR(VLOOKUP(C163,Merchants!$A$2:$D$41,2,FALSE),"Merchant not found")</f>
        <v>Merchant_008</v>
      </c>
      <c r="J163" s="4" t="str">
        <f>IFERROR(VLOOKUP(C163,Merchants!$A$2:$D$41,3,FALSE),"Merchant not found")</f>
        <v>food_delivery</v>
      </c>
      <c r="K163" s="4" t="str">
        <f>IFERROR(VLOOKUP(C163,Merchants!$A$2:$D$41,4,FALSE),"Merchant not found")</f>
        <v>North</v>
      </c>
      <c r="L163" s="4">
        <f>IFERROR(HLOOKUP(F163,Fee_Lookup!$B$1:$E$2,2,FALSE),"Fee not found")</f>
        <v>0.015</v>
      </c>
      <c r="M163" s="5">
        <f t="shared" si="1"/>
        <v>46048</v>
      </c>
      <c r="N163" s="4" t="str">
        <f t="shared" si="2"/>
        <v>8|2026-01-26</v>
      </c>
      <c r="O163" s="4">
        <f>IFERROR(VLOOKUP(N163,Merchant_Daily!$A:$B,2,FALSE),0)</f>
        <v>598</v>
      </c>
      <c r="P163" s="4" t="str">
        <f t="shared" si="3"/>
        <v>Standard Merchant Day</v>
      </c>
    </row>
    <row r="164">
      <c r="A164" s="1" t="s">
        <v>734</v>
      </c>
      <c r="B164" s="1">
        <v>116.0</v>
      </c>
      <c r="C164" s="1">
        <v>26.0</v>
      </c>
      <c r="D164" s="3">
        <v>46025.2</v>
      </c>
      <c r="E164" s="1">
        <v>99.0</v>
      </c>
      <c r="F164" s="1" t="s">
        <v>47</v>
      </c>
      <c r="G164" s="1" t="s">
        <v>27</v>
      </c>
      <c r="H164" s="1">
        <v>71.0</v>
      </c>
      <c r="I164" s="4" t="str">
        <f>IFERROR(VLOOKUP(C164,Merchants!$A$2:$D$41,2,FALSE),"Merchant not found")</f>
        <v>Merchant_026</v>
      </c>
      <c r="J164" s="4" t="str">
        <f>IFERROR(VLOOKUP(C164,Merchants!$A$2:$D$41,3,FALSE),"Merchant not found")</f>
        <v>food_delivery</v>
      </c>
      <c r="K164" s="4" t="str">
        <f>IFERROR(VLOOKUP(C164,Merchants!$A$2:$D$41,4,FALSE),"Merchant not found")</f>
        <v>East</v>
      </c>
      <c r="L164" s="4">
        <f>IFERROR(HLOOKUP(F164,Fee_Lookup!$B$1:$E$2,2,FALSE),"Fee not found")</f>
        <v>0.015</v>
      </c>
      <c r="M164" s="5">
        <f t="shared" si="1"/>
        <v>46025</v>
      </c>
      <c r="N164" s="4" t="str">
        <f t="shared" si="2"/>
        <v>26|2026-01-03</v>
      </c>
      <c r="O164" s="4">
        <f>IFERROR(VLOOKUP(N164,Merchant_Daily!$A:$B,2,FALSE),0)</f>
        <v>99</v>
      </c>
      <c r="P164" s="4" t="str">
        <f t="shared" si="3"/>
        <v>Standard Merchant Day</v>
      </c>
    </row>
    <row r="165">
      <c r="A165" s="1" t="s">
        <v>735</v>
      </c>
      <c r="B165" s="1">
        <v>203.0</v>
      </c>
      <c r="C165" s="1">
        <v>1.0</v>
      </c>
      <c r="D165" s="3">
        <v>46034.118055555555</v>
      </c>
      <c r="E165" s="1">
        <v>149.0</v>
      </c>
      <c r="F165" s="1" t="s">
        <v>26</v>
      </c>
      <c r="G165" s="1" t="s">
        <v>27</v>
      </c>
      <c r="H165" s="1">
        <v>33.0</v>
      </c>
      <c r="I165" s="4" t="str">
        <f>IFERROR(VLOOKUP(C165,Merchants!$A$2:$D$41,2,FALSE),"Merchant not found")</f>
        <v>Merchant_001</v>
      </c>
      <c r="J165" s="4" t="str">
        <f>IFERROR(VLOOKUP(C165,Merchants!$A$2:$D$41,3,FALSE),"Merchant not found")</f>
        <v>ecommerce</v>
      </c>
      <c r="K165" s="4" t="str">
        <f>IFERROR(VLOOKUP(C165,Merchants!$A$2:$D$41,4,FALSE),"Merchant not found")</f>
        <v>South</v>
      </c>
      <c r="L165" s="4">
        <f>IFERROR(HLOOKUP(F165,Fee_Lookup!$B$1:$E$2,2,FALSE),"Fee not found")</f>
        <v>0.005</v>
      </c>
      <c r="M165" s="5">
        <f t="shared" si="1"/>
        <v>46034</v>
      </c>
      <c r="N165" s="4" t="str">
        <f t="shared" si="2"/>
        <v>1|2026-01-12</v>
      </c>
      <c r="O165" s="4">
        <f>IFERROR(VLOOKUP(N165,Merchant_Daily!$A:$B,2,FALSE),0)</f>
        <v>149</v>
      </c>
      <c r="P165" s="4" t="str">
        <f t="shared" si="3"/>
        <v>Standard Merchant Day</v>
      </c>
    </row>
    <row r="166">
      <c r="A166" s="1" t="s">
        <v>736</v>
      </c>
      <c r="B166" s="1">
        <v>189.0</v>
      </c>
      <c r="C166" s="1">
        <v>17.0</v>
      </c>
      <c r="D166" s="3">
        <v>46040.14513888889</v>
      </c>
      <c r="E166" s="1">
        <v>99.0</v>
      </c>
      <c r="F166" s="1" t="s">
        <v>35</v>
      </c>
      <c r="G166" s="1" t="s">
        <v>27</v>
      </c>
      <c r="H166" s="1">
        <v>74.0</v>
      </c>
      <c r="I166" s="4" t="str">
        <f>IFERROR(VLOOKUP(C166,Merchants!$A$2:$D$41,2,FALSE),"Merchant not found")</f>
        <v>Merchant_017</v>
      </c>
      <c r="J166" s="4" t="str">
        <f>IFERROR(VLOOKUP(C166,Merchants!$A$2:$D$41,3,FALSE),"Merchant not found")</f>
        <v>grocery</v>
      </c>
      <c r="K166" s="4" t="str">
        <f>IFERROR(VLOOKUP(C166,Merchants!$A$2:$D$41,4,FALSE),"Merchant not found")</f>
        <v>North</v>
      </c>
      <c r="L166" s="4">
        <f>IFERROR(HLOOKUP(F166,Fee_Lookup!$B$1:$E$2,2,FALSE),"Fee not found")</f>
        <v>0</v>
      </c>
      <c r="M166" s="5">
        <f t="shared" si="1"/>
        <v>46040</v>
      </c>
      <c r="N166" s="4" t="str">
        <f t="shared" si="2"/>
        <v>17|2026-01-18</v>
      </c>
      <c r="O166" s="4">
        <f>IFERROR(VLOOKUP(N166,Merchant_Daily!$A:$B,2,FALSE),0)</f>
        <v>198</v>
      </c>
      <c r="P166" s="4" t="str">
        <f t="shared" si="3"/>
        <v>Standard Merchant Day</v>
      </c>
    </row>
    <row r="167">
      <c r="A167" s="1" t="s">
        <v>737</v>
      </c>
      <c r="B167" s="1">
        <v>56.0</v>
      </c>
      <c r="C167" s="1">
        <v>15.0</v>
      </c>
      <c r="D167" s="3">
        <v>46035.84930555556</v>
      </c>
      <c r="E167" s="1">
        <v>299.0</v>
      </c>
      <c r="F167" s="1" t="s">
        <v>35</v>
      </c>
      <c r="G167" s="1" t="s">
        <v>27</v>
      </c>
      <c r="H167" s="1">
        <v>60.0</v>
      </c>
      <c r="I167" s="4" t="str">
        <f>IFERROR(VLOOKUP(C167,Merchants!$A$2:$D$41,2,FALSE),"Merchant not found")</f>
        <v>Merchant_015</v>
      </c>
      <c r="J167" s="4" t="str">
        <f>IFERROR(VLOOKUP(C167,Merchants!$A$2:$D$41,3,FALSE),"Merchant not found")</f>
        <v>travel</v>
      </c>
      <c r="K167" s="4" t="str">
        <f>IFERROR(VLOOKUP(C167,Merchants!$A$2:$D$41,4,FALSE),"Merchant not found")</f>
        <v>North</v>
      </c>
      <c r="L167" s="4">
        <f>IFERROR(HLOOKUP(F167,Fee_Lookup!$B$1:$E$2,2,FALSE),"Fee not found")</f>
        <v>0</v>
      </c>
      <c r="M167" s="5">
        <f t="shared" si="1"/>
        <v>46035</v>
      </c>
      <c r="N167" s="4" t="str">
        <f t="shared" si="2"/>
        <v>15|2026-01-13</v>
      </c>
      <c r="O167" s="4">
        <f>IFERROR(VLOOKUP(N167,Merchant_Daily!$A:$B,2,FALSE),0)</f>
        <v>299</v>
      </c>
      <c r="P167" s="4" t="str">
        <f t="shared" si="3"/>
        <v>Standard Merchant Day</v>
      </c>
    </row>
    <row r="168">
      <c r="A168" s="1" t="s">
        <v>738</v>
      </c>
      <c r="B168" s="1">
        <v>288.0</v>
      </c>
      <c r="C168" s="1">
        <v>21.0</v>
      </c>
      <c r="D168" s="3">
        <v>46023.830555555556</v>
      </c>
      <c r="E168" s="1">
        <v>4999.0</v>
      </c>
      <c r="F168" s="1" t="s">
        <v>26</v>
      </c>
      <c r="G168" s="1" t="s">
        <v>30</v>
      </c>
      <c r="H168" s="1">
        <v>78.0</v>
      </c>
      <c r="I168" s="4" t="str">
        <f>IFERROR(VLOOKUP(C168,Merchants!$A$2:$D$41,2,FALSE),"Merchant not found")</f>
        <v>Merchant_021</v>
      </c>
      <c r="J168" s="4" t="str">
        <f>IFERROR(VLOOKUP(C168,Merchants!$A$2:$D$41,3,FALSE),"Merchant not found")</f>
        <v>food_delivery</v>
      </c>
      <c r="K168" s="4" t="str">
        <f>IFERROR(VLOOKUP(C168,Merchants!$A$2:$D$41,4,FALSE),"Merchant not found")</f>
        <v>East</v>
      </c>
      <c r="L168" s="4">
        <f>IFERROR(HLOOKUP(F168,Fee_Lookup!$B$1:$E$2,2,FALSE),"Fee not found")</f>
        <v>0.005</v>
      </c>
      <c r="M168" s="5">
        <f t="shared" si="1"/>
        <v>46023</v>
      </c>
      <c r="N168" s="4" t="str">
        <f t="shared" si="2"/>
        <v>21|2026-01-01</v>
      </c>
      <c r="O168" s="4">
        <f>IFERROR(VLOOKUP(N168,Merchant_Daily!$A:$B,2,FALSE),0)</f>
        <v>5298</v>
      </c>
      <c r="P168" s="4" t="str">
        <f t="shared" si="3"/>
        <v>High-Value East Merchant Day</v>
      </c>
    </row>
    <row r="169">
      <c r="A169" s="1" t="s">
        <v>739</v>
      </c>
      <c r="B169" s="1">
        <v>326.0</v>
      </c>
      <c r="C169" s="1">
        <v>30.0</v>
      </c>
      <c r="D169" s="3">
        <v>46030.83611111111</v>
      </c>
      <c r="E169" s="1">
        <v>99.0</v>
      </c>
      <c r="F169" s="1" t="s">
        <v>46</v>
      </c>
      <c r="G169" s="1" t="s">
        <v>27</v>
      </c>
      <c r="H169" s="1">
        <v>89.0</v>
      </c>
      <c r="I169" s="4" t="str">
        <f>IFERROR(VLOOKUP(C169,Merchants!$A$2:$D$41,2,FALSE),"Merchant not found")</f>
        <v>Merchant_030</v>
      </c>
      <c r="J169" s="4" t="str">
        <f>IFERROR(VLOOKUP(C169,Merchants!$A$2:$D$41,3,FALSE),"Merchant not found")</f>
        <v>travel</v>
      </c>
      <c r="K169" s="4" t="str">
        <f>IFERROR(VLOOKUP(C169,Merchants!$A$2:$D$41,4,FALSE),"Merchant not found")</f>
        <v>West</v>
      </c>
      <c r="L169" s="4">
        <f>IFERROR(HLOOKUP(F169,Fee_Lookup!$B$1:$E$2,2,FALSE),"Fee not found")</f>
        <v>0.01</v>
      </c>
      <c r="M169" s="5">
        <f t="shared" si="1"/>
        <v>46030</v>
      </c>
      <c r="N169" s="4" t="str">
        <f t="shared" si="2"/>
        <v>30|2026-01-08</v>
      </c>
      <c r="O169" s="4">
        <f>IFERROR(VLOOKUP(N169,Merchant_Daily!$A:$B,2,FALSE),0)</f>
        <v>1197</v>
      </c>
      <c r="P169" s="4" t="str">
        <f t="shared" si="3"/>
        <v>Standard Merchant Day</v>
      </c>
    </row>
    <row r="170">
      <c r="A170" s="1" t="s">
        <v>740</v>
      </c>
      <c r="B170" s="1">
        <v>60.0</v>
      </c>
      <c r="C170" s="1">
        <v>9.0</v>
      </c>
      <c r="D170" s="3">
        <v>46032.85138888889</v>
      </c>
      <c r="E170" s="1">
        <v>49.0</v>
      </c>
      <c r="F170" s="1" t="s">
        <v>47</v>
      </c>
      <c r="G170" s="1" t="s">
        <v>27</v>
      </c>
      <c r="H170" s="1">
        <v>5.0</v>
      </c>
      <c r="I170" s="4" t="str">
        <f>IFERROR(VLOOKUP(C170,Merchants!$A$2:$D$41,2,FALSE),"Merchant not found")</f>
        <v>Merchant_009</v>
      </c>
      <c r="J170" s="4" t="str">
        <f>IFERROR(VLOOKUP(C170,Merchants!$A$2:$D$41,3,FALSE),"Merchant not found")</f>
        <v>ecommerce</v>
      </c>
      <c r="K170" s="4" t="str">
        <f>IFERROR(VLOOKUP(C170,Merchants!$A$2:$D$41,4,FALSE),"Merchant not found")</f>
        <v>North</v>
      </c>
      <c r="L170" s="4">
        <f>IFERROR(HLOOKUP(F170,Fee_Lookup!$B$1:$E$2,2,FALSE),"Fee not found")</f>
        <v>0.015</v>
      </c>
      <c r="M170" s="5">
        <f t="shared" si="1"/>
        <v>46032</v>
      </c>
      <c r="N170" s="4" t="str">
        <f t="shared" si="2"/>
        <v>9|2026-01-10</v>
      </c>
      <c r="O170" s="4">
        <f>IFERROR(VLOOKUP(N170,Merchant_Daily!$A:$B,2,FALSE),0)</f>
        <v>49</v>
      </c>
      <c r="P170" s="4" t="str">
        <f t="shared" si="3"/>
        <v>Standard Merchant Day</v>
      </c>
    </row>
    <row r="171">
      <c r="A171" s="1" t="s">
        <v>741</v>
      </c>
      <c r="B171" s="1">
        <v>60.0</v>
      </c>
      <c r="C171" s="1">
        <v>7.0</v>
      </c>
      <c r="D171" s="3">
        <v>46024.396527777775</v>
      </c>
      <c r="E171" s="1">
        <v>2999.0</v>
      </c>
      <c r="F171" s="1" t="s">
        <v>26</v>
      </c>
      <c r="G171" s="1" t="s">
        <v>27</v>
      </c>
      <c r="H171" s="1">
        <v>30.0</v>
      </c>
      <c r="I171" s="4" t="str">
        <f>IFERROR(VLOOKUP(C171,Merchants!$A$2:$D$41,2,FALSE),"Merchant not found")</f>
        <v>Merchant_007</v>
      </c>
      <c r="J171" s="4" t="str">
        <f>IFERROR(VLOOKUP(C171,Merchants!$A$2:$D$41,3,FALSE),"Merchant not found")</f>
        <v>food_delivery</v>
      </c>
      <c r="K171" s="4" t="str">
        <f>IFERROR(VLOOKUP(C171,Merchants!$A$2:$D$41,4,FALSE),"Merchant not found")</f>
        <v>East</v>
      </c>
      <c r="L171" s="4">
        <f>IFERROR(HLOOKUP(F171,Fee_Lookup!$B$1:$E$2,2,FALSE),"Fee not found")</f>
        <v>0.005</v>
      </c>
      <c r="M171" s="5">
        <f t="shared" si="1"/>
        <v>46024</v>
      </c>
      <c r="N171" s="4" t="str">
        <f t="shared" si="2"/>
        <v>7|2026-01-02</v>
      </c>
      <c r="O171" s="4">
        <f>IFERROR(VLOOKUP(N171,Merchant_Daily!$A:$B,2,FALSE),0)</f>
        <v>3797</v>
      </c>
      <c r="P171" s="4" t="str">
        <f t="shared" si="3"/>
        <v>Standard Merchant Day</v>
      </c>
    </row>
    <row r="172">
      <c r="A172" s="1" t="s">
        <v>742</v>
      </c>
      <c r="B172" s="1">
        <v>199.0</v>
      </c>
      <c r="C172" s="1">
        <v>30.0</v>
      </c>
      <c r="D172" s="3">
        <v>46051.71388888889</v>
      </c>
      <c r="E172" s="1">
        <v>149.0</v>
      </c>
      <c r="F172" s="1" t="s">
        <v>47</v>
      </c>
      <c r="G172" s="1" t="s">
        <v>27</v>
      </c>
      <c r="H172" s="1">
        <v>47.0</v>
      </c>
      <c r="I172" s="4" t="str">
        <f>IFERROR(VLOOKUP(C172,Merchants!$A$2:$D$41,2,FALSE),"Merchant not found")</f>
        <v>Merchant_030</v>
      </c>
      <c r="J172" s="4" t="str">
        <f>IFERROR(VLOOKUP(C172,Merchants!$A$2:$D$41,3,FALSE),"Merchant not found")</f>
        <v>travel</v>
      </c>
      <c r="K172" s="4" t="str">
        <f>IFERROR(VLOOKUP(C172,Merchants!$A$2:$D$41,4,FALSE),"Merchant not found")</f>
        <v>West</v>
      </c>
      <c r="L172" s="4">
        <f>IFERROR(HLOOKUP(F172,Fee_Lookup!$B$1:$E$2,2,FALSE),"Fee not found")</f>
        <v>0.015</v>
      </c>
      <c r="M172" s="5">
        <f t="shared" si="1"/>
        <v>46051</v>
      </c>
      <c r="N172" s="4" t="str">
        <f t="shared" si="2"/>
        <v>30|2026-01-29</v>
      </c>
      <c r="O172" s="4">
        <f>IFERROR(VLOOKUP(N172,Merchant_Daily!$A:$B,2,FALSE),0)</f>
        <v>149</v>
      </c>
      <c r="P172" s="4" t="str">
        <f t="shared" si="3"/>
        <v>Standard Merchant Day</v>
      </c>
    </row>
    <row r="173">
      <c r="A173" s="1" t="s">
        <v>743</v>
      </c>
      <c r="B173" s="1">
        <v>277.0</v>
      </c>
      <c r="C173" s="1">
        <v>27.0</v>
      </c>
      <c r="D173" s="3">
        <v>46044.98888888889</v>
      </c>
      <c r="E173" s="1">
        <v>49.0</v>
      </c>
      <c r="F173" s="1" t="s">
        <v>35</v>
      </c>
      <c r="G173" s="1" t="s">
        <v>27</v>
      </c>
      <c r="H173" s="1">
        <v>75.0</v>
      </c>
      <c r="I173" s="4" t="str">
        <f>IFERROR(VLOOKUP(C173,Merchants!$A$2:$D$41,2,FALSE),"Merchant not found")</f>
        <v>Merchant_027</v>
      </c>
      <c r="J173" s="4" t="str">
        <f>IFERROR(VLOOKUP(C173,Merchants!$A$2:$D$41,3,FALSE),"Merchant not found")</f>
        <v>ecommerce</v>
      </c>
      <c r="K173" s="4" t="str">
        <f>IFERROR(VLOOKUP(C173,Merchants!$A$2:$D$41,4,FALSE),"Merchant not found")</f>
        <v>North</v>
      </c>
      <c r="L173" s="4">
        <f>IFERROR(HLOOKUP(F173,Fee_Lookup!$B$1:$E$2,2,FALSE),"Fee not found")</f>
        <v>0</v>
      </c>
      <c r="M173" s="5">
        <f t="shared" si="1"/>
        <v>46044</v>
      </c>
      <c r="N173" s="4" t="str">
        <f t="shared" si="2"/>
        <v>27|2026-01-22</v>
      </c>
      <c r="O173" s="4">
        <f>IFERROR(VLOOKUP(N173,Merchant_Daily!$A:$B,2,FALSE),0)</f>
        <v>49</v>
      </c>
      <c r="P173" s="4" t="str">
        <f t="shared" si="3"/>
        <v>Standard Merchant Day</v>
      </c>
    </row>
    <row r="174">
      <c r="A174" s="1" t="s">
        <v>744</v>
      </c>
      <c r="B174" s="1">
        <v>213.0</v>
      </c>
      <c r="C174" s="1">
        <v>7.0</v>
      </c>
      <c r="D174" s="3">
        <v>46046.964583333334</v>
      </c>
      <c r="E174" s="1">
        <v>799.0</v>
      </c>
      <c r="F174" s="1" t="s">
        <v>47</v>
      </c>
      <c r="G174" s="1" t="s">
        <v>27</v>
      </c>
      <c r="H174" s="1">
        <v>62.0</v>
      </c>
      <c r="I174" s="4" t="str">
        <f>IFERROR(VLOOKUP(C174,Merchants!$A$2:$D$41,2,FALSE),"Merchant not found")</f>
        <v>Merchant_007</v>
      </c>
      <c r="J174" s="4" t="str">
        <f>IFERROR(VLOOKUP(C174,Merchants!$A$2:$D$41,3,FALSE),"Merchant not found")</f>
        <v>food_delivery</v>
      </c>
      <c r="K174" s="4" t="str">
        <f>IFERROR(VLOOKUP(C174,Merchants!$A$2:$D$41,4,FALSE),"Merchant not found")</f>
        <v>East</v>
      </c>
      <c r="L174" s="4">
        <f>IFERROR(HLOOKUP(F174,Fee_Lookup!$B$1:$E$2,2,FALSE),"Fee not found")</f>
        <v>0.015</v>
      </c>
      <c r="M174" s="5">
        <f t="shared" si="1"/>
        <v>46046</v>
      </c>
      <c r="N174" s="4" t="str">
        <f t="shared" si="2"/>
        <v>7|2026-01-24</v>
      </c>
      <c r="O174" s="4">
        <f>IFERROR(VLOOKUP(N174,Merchant_Daily!$A:$B,2,FALSE),0)</f>
        <v>1298</v>
      </c>
      <c r="P174" s="4" t="str">
        <f t="shared" si="3"/>
        <v>Standard Merchant Day</v>
      </c>
    </row>
    <row r="175">
      <c r="A175" s="1" t="s">
        <v>745</v>
      </c>
      <c r="B175" s="1">
        <v>17.0</v>
      </c>
      <c r="C175" s="1">
        <v>24.0</v>
      </c>
      <c r="D175" s="3">
        <v>46042.55347222222</v>
      </c>
      <c r="E175" s="1">
        <v>299.0</v>
      </c>
      <c r="F175" s="1" t="s">
        <v>35</v>
      </c>
      <c r="G175" s="1" t="s">
        <v>27</v>
      </c>
      <c r="H175" s="1">
        <v>27.0</v>
      </c>
      <c r="I175" s="4" t="str">
        <f>IFERROR(VLOOKUP(C175,Merchants!$A$2:$D$41,2,FALSE),"Merchant not found")</f>
        <v>Merchant_024</v>
      </c>
      <c r="J175" s="4" t="str">
        <f>IFERROR(VLOOKUP(C175,Merchants!$A$2:$D$41,3,FALSE),"Merchant not found")</f>
        <v>grocery</v>
      </c>
      <c r="K175" s="4" t="str">
        <f>IFERROR(VLOOKUP(C175,Merchants!$A$2:$D$41,4,FALSE),"Merchant not found")</f>
        <v>North</v>
      </c>
      <c r="L175" s="4">
        <f>IFERROR(HLOOKUP(F175,Fee_Lookup!$B$1:$E$2,2,FALSE),"Fee not found")</f>
        <v>0</v>
      </c>
      <c r="M175" s="5">
        <f t="shared" si="1"/>
        <v>46042</v>
      </c>
      <c r="N175" s="4" t="str">
        <f t="shared" si="2"/>
        <v>24|2026-01-20</v>
      </c>
      <c r="O175" s="4">
        <f>IFERROR(VLOOKUP(N175,Merchant_Daily!$A:$B,2,FALSE),0)</f>
        <v>299</v>
      </c>
      <c r="P175" s="4" t="str">
        <f t="shared" si="3"/>
        <v>Standard Merchant Day</v>
      </c>
    </row>
    <row r="176">
      <c r="A176" s="1" t="s">
        <v>746</v>
      </c>
      <c r="B176" s="1">
        <v>186.0</v>
      </c>
      <c r="C176" s="1">
        <v>7.0</v>
      </c>
      <c r="D176" s="3">
        <v>46037.59375</v>
      </c>
      <c r="E176" s="1">
        <v>1499.0</v>
      </c>
      <c r="F176" s="1" t="s">
        <v>46</v>
      </c>
      <c r="G176" s="1" t="s">
        <v>30</v>
      </c>
      <c r="H176" s="1">
        <v>87.0</v>
      </c>
      <c r="I176" s="4" t="str">
        <f>IFERROR(VLOOKUP(C176,Merchants!$A$2:$D$41,2,FALSE),"Merchant not found")</f>
        <v>Merchant_007</v>
      </c>
      <c r="J176" s="4" t="str">
        <f>IFERROR(VLOOKUP(C176,Merchants!$A$2:$D$41,3,FALSE),"Merchant not found")</f>
        <v>food_delivery</v>
      </c>
      <c r="K176" s="4" t="str">
        <f>IFERROR(VLOOKUP(C176,Merchants!$A$2:$D$41,4,FALSE),"Merchant not found")</f>
        <v>East</v>
      </c>
      <c r="L176" s="4">
        <f>IFERROR(HLOOKUP(F176,Fee_Lookup!$B$1:$E$2,2,FALSE),"Fee not found")</f>
        <v>0.01</v>
      </c>
      <c r="M176" s="5">
        <f t="shared" si="1"/>
        <v>46037</v>
      </c>
      <c r="N176" s="4" t="str">
        <f t="shared" si="2"/>
        <v>7|2026-01-15</v>
      </c>
      <c r="O176" s="4">
        <f>IFERROR(VLOOKUP(N176,Merchant_Daily!$A:$B,2,FALSE),0)</f>
        <v>1648</v>
      </c>
      <c r="P176" s="4" t="str">
        <f t="shared" si="3"/>
        <v>Standard Merchant Day</v>
      </c>
    </row>
    <row r="177">
      <c r="A177" s="1" t="s">
        <v>747</v>
      </c>
      <c r="B177" s="1">
        <v>331.0</v>
      </c>
      <c r="C177" s="1">
        <v>23.0</v>
      </c>
      <c r="D177" s="3">
        <v>46034.74791666667</v>
      </c>
      <c r="E177" s="1">
        <v>149.0</v>
      </c>
      <c r="F177" s="1" t="s">
        <v>35</v>
      </c>
      <c r="G177" s="1" t="s">
        <v>27</v>
      </c>
      <c r="H177" s="1">
        <v>7.0</v>
      </c>
      <c r="I177" s="4" t="str">
        <f>IFERROR(VLOOKUP(C177,Merchants!$A$2:$D$41,2,FALSE),"Merchant not found")</f>
        <v>Merchant_023</v>
      </c>
      <c r="J177" s="4" t="str">
        <f>IFERROR(VLOOKUP(C177,Merchants!$A$2:$D$41,3,FALSE),"Merchant not found")</f>
        <v>travel</v>
      </c>
      <c r="K177" s="4" t="str">
        <f>IFERROR(VLOOKUP(C177,Merchants!$A$2:$D$41,4,FALSE),"Merchant not found")</f>
        <v>North</v>
      </c>
      <c r="L177" s="4">
        <f>IFERROR(HLOOKUP(F177,Fee_Lookup!$B$1:$E$2,2,FALSE),"Fee not found")</f>
        <v>0</v>
      </c>
      <c r="M177" s="5">
        <f t="shared" si="1"/>
        <v>46034</v>
      </c>
      <c r="N177" s="4" t="str">
        <f t="shared" si="2"/>
        <v>23|2026-01-12</v>
      </c>
      <c r="O177" s="4">
        <f>IFERROR(VLOOKUP(N177,Merchant_Daily!$A:$B,2,FALSE),0)</f>
        <v>149</v>
      </c>
      <c r="P177" s="4" t="str">
        <f t="shared" si="3"/>
        <v>Standard Merchant Day</v>
      </c>
    </row>
    <row r="178">
      <c r="A178" s="1" t="s">
        <v>748</v>
      </c>
      <c r="B178" s="1">
        <v>63.0</v>
      </c>
      <c r="C178" s="1">
        <v>30.0</v>
      </c>
      <c r="D178" s="3">
        <v>46035.34166666667</v>
      </c>
      <c r="E178" s="1">
        <v>1499.0</v>
      </c>
      <c r="F178" s="1" t="s">
        <v>46</v>
      </c>
      <c r="G178" s="1" t="s">
        <v>27</v>
      </c>
      <c r="H178" s="1">
        <v>11.0</v>
      </c>
      <c r="I178" s="4" t="str">
        <f>IFERROR(VLOOKUP(C178,Merchants!$A$2:$D$41,2,FALSE),"Merchant not found")</f>
        <v>Merchant_030</v>
      </c>
      <c r="J178" s="4" t="str">
        <f>IFERROR(VLOOKUP(C178,Merchants!$A$2:$D$41,3,FALSE),"Merchant not found")</f>
        <v>travel</v>
      </c>
      <c r="K178" s="4" t="str">
        <f>IFERROR(VLOOKUP(C178,Merchants!$A$2:$D$41,4,FALSE),"Merchant not found")</f>
        <v>West</v>
      </c>
      <c r="L178" s="4">
        <f>IFERROR(HLOOKUP(F178,Fee_Lookup!$B$1:$E$2,2,FALSE),"Fee not found")</f>
        <v>0.01</v>
      </c>
      <c r="M178" s="5">
        <f t="shared" si="1"/>
        <v>46035</v>
      </c>
      <c r="N178" s="4" t="str">
        <f t="shared" si="2"/>
        <v>30|2026-01-13</v>
      </c>
      <c r="O178" s="4">
        <f>IFERROR(VLOOKUP(N178,Merchant_Daily!$A:$B,2,FALSE),0)</f>
        <v>1499</v>
      </c>
      <c r="P178" s="4" t="str">
        <f t="shared" si="3"/>
        <v>Standard Merchant Day</v>
      </c>
    </row>
    <row r="179">
      <c r="A179" s="1" t="s">
        <v>749</v>
      </c>
      <c r="B179" s="1">
        <v>328.0</v>
      </c>
      <c r="C179" s="1">
        <v>39.0</v>
      </c>
      <c r="D179" s="3">
        <v>46044.27847222222</v>
      </c>
      <c r="E179" s="1">
        <v>4999.0</v>
      </c>
      <c r="F179" s="1" t="s">
        <v>26</v>
      </c>
      <c r="G179" s="1" t="s">
        <v>34</v>
      </c>
      <c r="H179" s="1">
        <v>2.0</v>
      </c>
      <c r="I179" s="4" t="str">
        <f>IFERROR(VLOOKUP(C179,Merchants!$A$2:$D$41,2,FALSE),"Merchant not found")</f>
        <v>Merchant_039</v>
      </c>
      <c r="J179" s="4" t="str">
        <f>IFERROR(VLOOKUP(C179,Merchants!$A$2:$D$41,3,FALSE),"Merchant not found")</f>
        <v>entertainment</v>
      </c>
      <c r="K179" s="4" t="str">
        <f>IFERROR(VLOOKUP(C179,Merchants!$A$2:$D$41,4,FALSE),"Merchant not found")</f>
        <v>North</v>
      </c>
      <c r="L179" s="4">
        <f>IFERROR(HLOOKUP(F179,Fee_Lookup!$B$1:$E$2,2,FALSE),"Fee not found")</f>
        <v>0.005</v>
      </c>
      <c r="M179" s="5">
        <f t="shared" si="1"/>
        <v>46044</v>
      </c>
      <c r="N179" s="4" t="str">
        <f t="shared" si="2"/>
        <v>39|2026-01-22</v>
      </c>
      <c r="O179" s="4">
        <f>IFERROR(VLOOKUP(N179,Merchant_Daily!$A:$B,2,FALSE),0)</f>
        <v>9796</v>
      </c>
      <c r="P179" s="4" t="str">
        <f t="shared" si="3"/>
        <v>High-Value Merchant Day</v>
      </c>
    </row>
    <row r="180">
      <c r="A180" s="1" t="s">
        <v>750</v>
      </c>
      <c r="B180" s="1">
        <v>65.0</v>
      </c>
      <c r="C180" s="1">
        <v>37.0</v>
      </c>
      <c r="D180" s="3">
        <v>46024.427083333336</v>
      </c>
      <c r="E180" s="1">
        <v>2999.0</v>
      </c>
      <c r="F180" s="1" t="s">
        <v>46</v>
      </c>
      <c r="G180" s="1" t="s">
        <v>27</v>
      </c>
      <c r="H180" s="1">
        <v>26.0</v>
      </c>
      <c r="I180" s="4" t="str">
        <f>IFERROR(VLOOKUP(C180,Merchants!$A$2:$D$41,2,FALSE),"Merchant not found")</f>
        <v>Merchant_037</v>
      </c>
      <c r="J180" s="4" t="str">
        <f>IFERROR(VLOOKUP(C180,Merchants!$A$2:$D$41,3,FALSE),"Merchant not found")</f>
        <v>entertainment</v>
      </c>
      <c r="K180" s="4" t="str">
        <f>IFERROR(VLOOKUP(C180,Merchants!$A$2:$D$41,4,FALSE),"Merchant not found")</f>
        <v>South</v>
      </c>
      <c r="L180" s="4">
        <f>IFERROR(HLOOKUP(F180,Fee_Lookup!$B$1:$E$2,2,FALSE),"Fee not found")</f>
        <v>0.01</v>
      </c>
      <c r="M180" s="5">
        <f t="shared" si="1"/>
        <v>46024</v>
      </c>
      <c r="N180" s="4" t="str">
        <f t="shared" si="2"/>
        <v>37|2026-01-02</v>
      </c>
      <c r="O180" s="4">
        <f>IFERROR(VLOOKUP(N180,Merchant_Daily!$A:$B,2,FALSE),0)</f>
        <v>2999</v>
      </c>
      <c r="P180" s="4" t="str">
        <f t="shared" si="3"/>
        <v>Standard Merchant Day</v>
      </c>
    </row>
    <row r="181">
      <c r="A181" s="1" t="s">
        <v>751</v>
      </c>
      <c r="B181" s="1">
        <v>301.0</v>
      </c>
      <c r="C181" s="1">
        <v>14.0</v>
      </c>
      <c r="D181" s="3">
        <v>46025.717361111114</v>
      </c>
      <c r="E181" s="1">
        <v>149.0</v>
      </c>
      <c r="F181" s="1" t="s">
        <v>35</v>
      </c>
      <c r="G181" s="1" t="s">
        <v>27</v>
      </c>
      <c r="H181" s="1">
        <v>29.0</v>
      </c>
      <c r="I181" s="4" t="str">
        <f>IFERROR(VLOOKUP(C181,Merchants!$A$2:$D$41,2,FALSE),"Merchant not found")</f>
        <v>Merchant_014</v>
      </c>
      <c r="J181" s="4" t="str">
        <f>IFERROR(VLOOKUP(C181,Merchants!$A$2:$D$41,3,FALSE),"Merchant not found")</f>
        <v>grocery</v>
      </c>
      <c r="K181" s="4" t="str">
        <f>IFERROR(VLOOKUP(C181,Merchants!$A$2:$D$41,4,FALSE),"Merchant not found")</f>
        <v>East</v>
      </c>
      <c r="L181" s="4">
        <f>IFERROR(HLOOKUP(F181,Fee_Lookup!$B$1:$E$2,2,FALSE),"Fee not found")</f>
        <v>0</v>
      </c>
      <c r="M181" s="5">
        <f t="shared" si="1"/>
        <v>46025</v>
      </c>
      <c r="N181" s="4" t="str">
        <f t="shared" si="2"/>
        <v>14|2026-01-03</v>
      </c>
      <c r="O181" s="4">
        <f>IFERROR(VLOOKUP(N181,Merchant_Daily!$A:$B,2,FALSE),0)</f>
        <v>149</v>
      </c>
      <c r="P181" s="4" t="str">
        <f t="shared" si="3"/>
        <v>Standard Merchant Day</v>
      </c>
    </row>
    <row r="182">
      <c r="A182" s="1" t="s">
        <v>752</v>
      </c>
      <c r="B182" s="1">
        <v>306.0</v>
      </c>
      <c r="C182" s="1">
        <v>1.0</v>
      </c>
      <c r="D182" s="3">
        <v>46033.20138888889</v>
      </c>
      <c r="E182" s="1">
        <v>299.0</v>
      </c>
      <c r="F182" s="1" t="s">
        <v>35</v>
      </c>
      <c r="G182" s="1" t="s">
        <v>30</v>
      </c>
      <c r="H182" s="1">
        <v>35.0</v>
      </c>
      <c r="I182" s="4" t="str">
        <f>IFERROR(VLOOKUP(C182,Merchants!$A$2:$D$41,2,FALSE),"Merchant not found")</f>
        <v>Merchant_001</v>
      </c>
      <c r="J182" s="4" t="str">
        <f>IFERROR(VLOOKUP(C182,Merchants!$A$2:$D$41,3,FALSE),"Merchant not found")</f>
        <v>ecommerce</v>
      </c>
      <c r="K182" s="4" t="str">
        <f>IFERROR(VLOOKUP(C182,Merchants!$A$2:$D$41,4,FALSE),"Merchant not found")</f>
        <v>South</v>
      </c>
      <c r="L182" s="4">
        <f>IFERROR(HLOOKUP(F182,Fee_Lookup!$B$1:$E$2,2,FALSE),"Fee not found")</f>
        <v>0</v>
      </c>
      <c r="M182" s="5">
        <f t="shared" si="1"/>
        <v>46033</v>
      </c>
      <c r="N182" s="4" t="str">
        <f t="shared" si="2"/>
        <v>1|2026-01-11</v>
      </c>
      <c r="O182" s="4">
        <f>IFERROR(VLOOKUP(N182,Merchant_Daily!$A:$B,2,FALSE),0)</f>
        <v>299</v>
      </c>
      <c r="P182" s="4" t="str">
        <f t="shared" si="3"/>
        <v>Standard Merchant Day</v>
      </c>
    </row>
    <row r="183">
      <c r="A183" s="1" t="s">
        <v>753</v>
      </c>
      <c r="B183" s="1">
        <v>277.0</v>
      </c>
      <c r="C183" s="1">
        <v>17.0</v>
      </c>
      <c r="D183" s="3">
        <v>46050.17222222222</v>
      </c>
      <c r="E183" s="1">
        <v>299.0</v>
      </c>
      <c r="F183" s="1" t="s">
        <v>35</v>
      </c>
      <c r="G183" s="1" t="s">
        <v>27</v>
      </c>
      <c r="H183" s="1">
        <v>22.0</v>
      </c>
      <c r="I183" s="4" t="str">
        <f>IFERROR(VLOOKUP(C183,Merchants!$A$2:$D$41,2,FALSE),"Merchant not found")</f>
        <v>Merchant_017</v>
      </c>
      <c r="J183" s="4" t="str">
        <f>IFERROR(VLOOKUP(C183,Merchants!$A$2:$D$41,3,FALSE),"Merchant not found")</f>
        <v>grocery</v>
      </c>
      <c r="K183" s="4" t="str">
        <f>IFERROR(VLOOKUP(C183,Merchants!$A$2:$D$41,4,FALSE),"Merchant not found")</f>
        <v>North</v>
      </c>
      <c r="L183" s="4">
        <f>IFERROR(HLOOKUP(F183,Fee_Lookup!$B$1:$E$2,2,FALSE),"Fee not found")</f>
        <v>0</v>
      </c>
      <c r="M183" s="5">
        <f t="shared" si="1"/>
        <v>46050</v>
      </c>
      <c r="N183" s="4" t="str">
        <f t="shared" si="2"/>
        <v>17|2026-01-28</v>
      </c>
      <c r="O183" s="4">
        <f>IFERROR(VLOOKUP(N183,Merchant_Daily!$A:$B,2,FALSE),0)</f>
        <v>299</v>
      </c>
      <c r="P183" s="4" t="str">
        <f t="shared" si="3"/>
        <v>Standard Merchant Day</v>
      </c>
    </row>
    <row r="184">
      <c r="A184" s="1" t="s">
        <v>754</v>
      </c>
      <c r="B184" s="1">
        <v>14.0</v>
      </c>
      <c r="C184" s="1">
        <v>9.0</v>
      </c>
      <c r="D184" s="3">
        <v>46026.913194444445</v>
      </c>
      <c r="E184" s="1">
        <v>499.0</v>
      </c>
      <c r="F184" s="1" t="s">
        <v>35</v>
      </c>
      <c r="G184" s="1" t="s">
        <v>27</v>
      </c>
      <c r="H184" s="1">
        <v>1.0</v>
      </c>
      <c r="I184" s="4" t="str">
        <f>IFERROR(VLOOKUP(C184,Merchants!$A$2:$D$41,2,FALSE),"Merchant not found")</f>
        <v>Merchant_009</v>
      </c>
      <c r="J184" s="4" t="str">
        <f>IFERROR(VLOOKUP(C184,Merchants!$A$2:$D$41,3,FALSE),"Merchant not found")</f>
        <v>ecommerce</v>
      </c>
      <c r="K184" s="4" t="str">
        <f>IFERROR(VLOOKUP(C184,Merchants!$A$2:$D$41,4,FALSE),"Merchant not found")</f>
        <v>North</v>
      </c>
      <c r="L184" s="4">
        <f>IFERROR(HLOOKUP(F184,Fee_Lookup!$B$1:$E$2,2,FALSE),"Fee not found")</f>
        <v>0</v>
      </c>
      <c r="M184" s="5">
        <f t="shared" si="1"/>
        <v>46026</v>
      </c>
      <c r="N184" s="4" t="str">
        <f t="shared" si="2"/>
        <v>9|2026-01-04</v>
      </c>
      <c r="O184" s="4">
        <f>IFERROR(VLOOKUP(N184,Merchant_Daily!$A:$B,2,FALSE),0)</f>
        <v>499</v>
      </c>
      <c r="P184" s="4" t="str">
        <f t="shared" si="3"/>
        <v>Standard Merchant Day</v>
      </c>
    </row>
    <row r="185">
      <c r="A185" s="1" t="s">
        <v>755</v>
      </c>
      <c r="B185" s="1">
        <v>166.0</v>
      </c>
      <c r="C185" s="1">
        <v>2.0</v>
      </c>
      <c r="D185" s="3">
        <v>46034.31736111111</v>
      </c>
      <c r="E185" s="1">
        <v>299.0</v>
      </c>
      <c r="F185" s="1" t="s">
        <v>46</v>
      </c>
      <c r="G185" s="1" t="s">
        <v>27</v>
      </c>
      <c r="H185" s="1">
        <v>22.0</v>
      </c>
      <c r="I185" s="4" t="str">
        <f>IFERROR(VLOOKUP(C185,Merchants!$A$2:$D$41,2,FALSE),"Merchant not found")</f>
        <v>Merchant_002</v>
      </c>
      <c r="J185" s="4" t="str">
        <f>IFERROR(VLOOKUP(C185,Merchants!$A$2:$D$41,3,FALSE),"Merchant not found")</f>
        <v>grocery</v>
      </c>
      <c r="K185" s="4" t="str">
        <f>IFERROR(VLOOKUP(C185,Merchants!$A$2:$D$41,4,FALSE),"Merchant not found")</f>
        <v>West</v>
      </c>
      <c r="L185" s="4">
        <f>IFERROR(HLOOKUP(F185,Fee_Lookup!$B$1:$E$2,2,FALSE),"Fee not found")</f>
        <v>0.01</v>
      </c>
      <c r="M185" s="5">
        <f t="shared" si="1"/>
        <v>46034</v>
      </c>
      <c r="N185" s="4" t="str">
        <f t="shared" si="2"/>
        <v>2|2026-01-12</v>
      </c>
      <c r="O185" s="4">
        <f>IFERROR(VLOOKUP(N185,Merchant_Daily!$A:$B,2,FALSE),0)</f>
        <v>348</v>
      </c>
      <c r="P185" s="4" t="str">
        <f t="shared" si="3"/>
        <v>Standard Merchant Day</v>
      </c>
    </row>
    <row r="186">
      <c r="A186" s="1" t="s">
        <v>756</v>
      </c>
      <c r="B186" s="1">
        <v>216.0</v>
      </c>
      <c r="C186" s="1">
        <v>34.0</v>
      </c>
      <c r="D186" s="3">
        <v>46031.04722222222</v>
      </c>
      <c r="E186" s="1">
        <v>299.0</v>
      </c>
      <c r="F186" s="1" t="s">
        <v>46</v>
      </c>
      <c r="G186" s="1" t="s">
        <v>27</v>
      </c>
      <c r="H186" s="1">
        <v>14.0</v>
      </c>
      <c r="I186" s="4" t="str">
        <f>IFERROR(VLOOKUP(C186,Merchants!$A$2:$D$41,2,FALSE),"Merchant not found")</f>
        <v>Merchant_034</v>
      </c>
      <c r="J186" s="4" t="str">
        <f>IFERROR(VLOOKUP(C186,Merchants!$A$2:$D$41,3,FALSE),"Merchant not found")</f>
        <v>travel</v>
      </c>
      <c r="K186" s="4" t="str">
        <f>IFERROR(VLOOKUP(C186,Merchants!$A$2:$D$41,4,FALSE),"Merchant not found")</f>
        <v>South</v>
      </c>
      <c r="L186" s="4">
        <f>IFERROR(HLOOKUP(F186,Fee_Lookup!$B$1:$E$2,2,FALSE),"Fee not found")</f>
        <v>0.01</v>
      </c>
      <c r="M186" s="5">
        <f t="shared" si="1"/>
        <v>46031</v>
      </c>
      <c r="N186" s="4" t="str">
        <f t="shared" si="2"/>
        <v>34|2026-01-09</v>
      </c>
      <c r="O186" s="4">
        <f>IFERROR(VLOOKUP(N186,Merchant_Daily!$A:$B,2,FALSE),0)</f>
        <v>299</v>
      </c>
      <c r="P186" s="4" t="str">
        <f t="shared" si="3"/>
        <v>Standard Merchant Day</v>
      </c>
    </row>
    <row r="187">
      <c r="A187" s="1" t="s">
        <v>757</v>
      </c>
      <c r="B187" s="1">
        <v>230.0</v>
      </c>
      <c r="C187" s="1">
        <v>24.0</v>
      </c>
      <c r="D187" s="3">
        <v>46046.104166666664</v>
      </c>
      <c r="E187" s="1">
        <v>49.0</v>
      </c>
      <c r="F187" s="1" t="s">
        <v>35</v>
      </c>
      <c r="G187" s="1" t="s">
        <v>27</v>
      </c>
      <c r="H187" s="1">
        <v>65.0</v>
      </c>
      <c r="I187" s="4" t="str">
        <f>IFERROR(VLOOKUP(C187,Merchants!$A$2:$D$41,2,FALSE),"Merchant not found")</f>
        <v>Merchant_024</v>
      </c>
      <c r="J187" s="4" t="str">
        <f>IFERROR(VLOOKUP(C187,Merchants!$A$2:$D$41,3,FALSE),"Merchant not found")</f>
        <v>grocery</v>
      </c>
      <c r="K187" s="4" t="str">
        <f>IFERROR(VLOOKUP(C187,Merchants!$A$2:$D$41,4,FALSE),"Merchant not found")</f>
        <v>North</v>
      </c>
      <c r="L187" s="4">
        <f>IFERROR(HLOOKUP(F187,Fee_Lookup!$B$1:$E$2,2,FALSE),"Fee not found")</f>
        <v>0</v>
      </c>
      <c r="M187" s="5">
        <f t="shared" si="1"/>
        <v>46046</v>
      </c>
      <c r="N187" s="4" t="str">
        <f t="shared" si="2"/>
        <v>24|2026-01-24</v>
      </c>
      <c r="O187" s="4">
        <f>IFERROR(VLOOKUP(N187,Merchant_Daily!$A:$B,2,FALSE),0)</f>
        <v>148</v>
      </c>
      <c r="P187" s="4" t="str">
        <f t="shared" si="3"/>
        <v>Standard Merchant Day</v>
      </c>
    </row>
    <row r="188">
      <c r="A188" s="1" t="s">
        <v>758</v>
      </c>
      <c r="B188" s="1">
        <v>258.0</v>
      </c>
      <c r="C188" s="1">
        <v>15.0</v>
      </c>
      <c r="D188" s="3">
        <v>46041.14444444444</v>
      </c>
      <c r="E188" s="1">
        <v>499.0</v>
      </c>
      <c r="F188" s="1" t="s">
        <v>26</v>
      </c>
      <c r="G188" s="1" t="s">
        <v>27</v>
      </c>
      <c r="H188" s="1">
        <v>78.0</v>
      </c>
      <c r="I188" s="4" t="str">
        <f>IFERROR(VLOOKUP(C188,Merchants!$A$2:$D$41,2,FALSE),"Merchant not found")</f>
        <v>Merchant_015</v>
      </c>
      <c r="J188" s="4" t="str">
        <f>IFERROR(VLOOKUP(C188,Merchants!$A$2:$D$41,3,FALSE),"Merchant not found")</f>
        <v>travel</v>
      </c>
      <c r="K188" s="4" t="str">
        <f>IFERROR(VLOOKUP(C188,Merchants!$A$2:$D$41,4,FALSE),"Merchant not found")</f>
        <v>North</v>
      </c>
      <c r="L188" s="4">
        <f>IFERROR(HLOOKUP(F188,Fee_Lookup!$B$1:$E$2,2,FALSE),"Fee not found")</f>
        <v>0.005</v>
      </c>
      <c r="M188" s="5">
        <f t="shared" si="1"/>
        <v>46041</v>
      </c>
      <c r="N188" s="4" t="str">
        <f t="shared" si="2"/>
        <v>15|2026-01-19</v>
      </c>
      <c r="O188" s="4">
        <f>IFERROR(VLOOKUP(N188,Merchant_Daily!$A:$B,2,FALSE),0)</f>
        <v>499</v>
      </c>
      <c r="P188" s="4" t="str">
        <f t="shared" si="3"/>
        <v>Standard Merchant Day</v>
      </c>
    </row>
    <row r="189">
      <c r="A189" s="1" t="s">
        <v>759</v>
      </c>
      <c r="B189" s="1">
        <v>338.0</v>
      </c>
      <c r="C189" s="1">
        <v>34.0</v>
      </c>
      <c r="D189" s="3">
        <v>46024.993055555555</v>
      </c>
      <c r="E189" s="1">
        <v>49.0</v>
      </c>
      <c r="F189" s="1" t="s">
        <v>35</v>
      </c>
      <c r="G189" s="1" t="s">
        <v>27</v>
      </c>
      <c r="H189" s="1">
        <v>38.0</v>
      </c>
      <c r="I189" s="4" t="str">
        <f>IFERROR(VLOOKUP(C189,Merchants!$A$2:$D$41,2,FALSE),"Merchant not found")</f>
        <v>Merchant_034</v>
      </c>
      <c r="J189" s="4" t="str">
        <f>IFERROR(VLOOKUP(C189,Merchants!$A$2:$D$41,3,FALSE),"Merchant not found")</f>
        <v>travel</v>
      </c>
      <c r="K189" s="4" t="str">
        <f>IFERROR(VLOOKUP(C189,Merchants!$A$2:$D$41,4,FALSE),"Merchant not found")</f>
        <v>South</v>
      </c>
      <c r="L189" s="4">
        <f>IFERROR(HLOOKUP(F189,Fee_Lookup!$B$1:$E$2,2,FALSE),"Fee not found")</f>
        <v>0</v>
      </c>
      <c r="M189" s="5">
        <f t="shared" si="1"/>
        <v>46024</v>
      </c>
      <c r="N189" s="4" t="str">
        <f t="shared" si="2"/>
        <v>34|2026-01-02</v>
      </c>
      <c r="O189" s="4">
        <f>IFERROR(VLOOKUP(N189,Merchant_Daily!$A:$B,2,FALSE),0)</f>
        <v>548</v>
      </c>
      <c r="P189" s="4" t="str">
        <f t="shared" si="3"/>
        <v>Standard Merchant Day</v>
      </c>
    </row>
    <row r="190">
      <c r="A190" s="1" t="s">
        <v>760</v>
      </c>
      <c r="B190" s="1">
        <v>32.0</v>
      </c>
      <c r="C190" s="1">
        <v>31.0</v>
      </c>
      <c r="D190" s="3">
        <v>46037.834027777775</v>
      </c>
      <c r="E190" s="1">
        <v>299.0</v>
      </c>
      <c r="F190" s="1" t="s">
        <v>35</v>
      </c>
      <c r="G190" s="1" t="s">
        <v>27</v>
      </c>
      <c r="H190" s="1">
        <v>51.0</v>
      </c>
      <c r="I190" s="4" t="str">
        <f>IFERROR(VLOOKUP(C190,Merchants!$A$2:$D$41,2,FALSE),"Merchant not found")</f>
        <v>Merchant_031</v>
      </c>
      <c r="J190" s="4" t="str">
        <f>IFERROR(VLOOKUP(C190,Merchants!$A$2:$D$41,3,FALSE),"Merchant not found")</f>
        <v>bill_payment</v>
      </c>
      <c r="K190" s="4" t="str">
        <f>IFERROR(VLOOKUP(C190,Merchants!$A$2:$D$41,4,FALSE),"Merchant not found")</f>
        <v>East</v>
      </c>
      <c r="L190" s="4">
        <f>IFERROR(HLOOKUP(F190,Fee_Lookup!$B$1:$E$2,2,FALSE),"Fee not found")</f>
        <v>0</v>
      </c>
      <c r="M190" s="5">
        <f t="shared" si="1"/>
        <v>46037</v>
      </c>
      <c r="N190" s="4" t="str">
        <f t="shared" si="2"/>
        <v>31|2026-01-15</v>
      </c>
      <c r="O190" s="4">
        <f>IFERROR(VLOOKUP(N190,Merchant_Daily!$A:$B,2,FALSE),0)</f>
        <v>299</v>
      </c>
      <c r="P190" s="4" t="str">
        <f t="shared" si="3"/>
        <v>Standard Merchant Day</v>
      </c>
    </row>
    <row r="191">
      <c r="A191" s="1" t="s">
        <v>761</v>
      </c>
      <c r="B191" s="1">
        <v>252.0</v>
      </c>
      <c r="C191" s="1">
        <v>29.0</v>
      </c>
      <c r="D191" s="3">
        <v>46036.879166666666</v>
      </c>
      <c r="E191" s="1">
        <v>1499.0</v>
      </c>
      <c r="F191" s="1" t="s">
        <v>35</v>
      </c>
      <c r="G191" s="1" t="s">
        <v>27</v>
      </c>
      <c r="H191" s="1">
        <v>9.0</v>
      </c>
      <c r="I191" s="4" t="str">
        <f>IFERROR(VLOOKUP(C191,Merchants!$A$2:$D$41,2,FALSE),"Merchant not found")</f>
        <v>Merchant_029</v>
      </c>
      <c r="J191" s="4" t="str">
        <f>IFERROR(VLOOKUP(C191,Merchants!$A$2:$D$41,3,FALSE),"Merchant not found")</f>
        <v>ecommerce</v>
      </c>
      <c r="K191" s="4" t="str">
        <f>IFERROR(VLOOKUP(C191,Merchants!$A$2:$D$41,4,FALSE),"Merchant not found")</f>
        <v>North</v>
      </c>
      <c r="L191" s="4">
        <f>IFERROR(HLOOKUP(F191,Fee_Lookup!$B$1:$E$2,2,FALSE),"Fee not found")</f>
        <v>0</v>
      </c>
      <c r="M191" s="5">
        <f t="shared" si="1"/>
        <v>46036</v>
      </c>
      <c r="N191" s="4" t="str">
        <f t="shared" si="2"/>
        <v>29|2026-01-14</v>
      </c>
      <c r="O191" s="4">
        <f>IFERROR(VLOOKUP(N191,Merchant_Daily!$A:$B,2,FALSE),0)</f>
        <v>1998</v>
      </c>
      <c r="P191" s="4" t="str">
        <f t="shared" si="3"/>
        <v>Standard Merchant Day</v>
      </c>
    </row>
    <row r="192">
      <c r="A192" s="1" t="s">
        <v>762</v>
      </c>
      <c r="B192" s="1">
        <v>312.0</v>
      </c>
      <c r="C192" s="1">
        <v>10.0</v>
      </c>
      <c r="D192" s="3">
        <v>46051.09722222222</v>
      </c>
      <c r="E192" s="1">
        <v>799.0</v>
      </c>
      <c r="F192" s="1" t="s">
        <v>35</v>
      </c>
      <c r="G192" s="1" t="s">
        <v>27</v>
      </c>
      <c r="H192" s="1">
        <v>8.0</v>
      </c>
      <c r="I192" s="4" t="str">
        <f>IFERROR(VLOOKUP(C192,Merchants!$A$2:$D$41,2,FALSE),"Merchant not found")</f>
        <v>Merchant_010</v>
      </c>
      <c r="J192" s="4" t="str">
        <f>IFERROR(VLOOKUP(C192,Merchants!$A$2:$D$41,3,FALSE),"Merchant not found")</f>
        <v>grocery</v>
      </c>
      <c r="K192" s="4" t="str">
        <f>IFERROR(VLOOKUP(C192,Merchants!$A$2:$D$41,4,FALSE),"Merchant not found")</f>
        <v>West</v>
      </c>
      <c r="L192" s="4">
        <f>IFERROR(HLOOKUP(F192,Fee_Lookup!$B$1:$E$2,2,FALSE),"Fee not found")</f>
        <v>0</v>
      </c>
      <c r="M192" s="5">
        <f t="shared" si="1"/>
        <v>46051</v>
      </c>
      <c r="N192" s="4" t="str">
        <f t="shared" si="2"/>
        <v>10|2026-01-29</v>
      </c>
      <c r="O192" s="4">
        <f>IFERROR(VLOOKUP(N192,Merchant_Daily!$A:$B,2,FALSE),0)</f>
        <v>799</v>
      </c>
      <c r="P192" s="4" t="str">
        <f t="shared" si="3"/>
        <v>Standard Merchant Day</v>
      </c>
    </row>
    <row r="193">
      <c r="A193" s="1" t="s">
        <v>763</v>
      </c>
      <c r="B193" s="1">
        <v>325.0</v>
      </c>
      <c r="C193" s="1">
        <v>38.0</v>
      </c>
      <c r="D193" s="3">
        <v>46027.36041666667</v>
      </c>
      <c r="E193" s="1">
        <v>1499.0</v>
      </c>
      <c r="F193" s="1" t="s">
        <v>47</v>
      </c>
      <c r="G193" s="1" t="s">
        <v>27</v>
      </c>
      <c r="H193" s="1">
        <v>70.0</v>
      </c>
      <c r="I193" s="4" t="str">
        <f>IFERROR(VLOOKUP(C193,Merchants!$A$2:$D$41,2,FALSE),"Merchant not found")</f>
        <v>Merchant_038</v>
      </c>
      <c r="J193" s="4" t="str">
        <f>IFERROR(VLOOKUP(C193,Merchants!$A$2:$D$41,3,FALSE),"Merchant not found")</f>
        <v>grocery</v>
      </c>
      <c r="K193" s="4" t="str">
        <f>IFERROR(VLOOKUP(C193,Merchants!$A$2:$D$41,4,FALSE),"Merchant not found")</f>
        <v>East</v>
      </c>
      <c r="L193" s="4">
        <f>IFERROR(HLOOKUP(F193,Fee_Lookup!$B$1:$E$2,2,FALSE),"Fee not found")</f>
        <v>0.015</v>
      </c>
      <c r="M193" s="5">
        <f t="shared" si="1"/>
        <v>46027</v>
      </c>
      <c r="N193" s="4" t="str">
        <f t="shared" si="2"/>
        <v>38|2026-01-05</v>
      </c>
      <c r="O193" s="4">
        <f>IFERROR(VLOOKUP(N193,Merchant_Daily!$A:$B,2,FALSE),0)</f>
        <v>1499</v>
      </c>
      <c r="P193" s="4" t="str">
        <f t="shared" si="3"/>
        <v>Standard Merchant Day</v>
      </c>
    </row>
    <row r="194">
      <c r="A194" s="1" t="s">
        <v>764</v>
      </c>
      <c r="B194" s="1">
        <v>306.0</v>
      </c>
      <c r="C194" s="1">
        <v>34.0</v>
      </c>
      <c r="D194" s="3">
        <v>46045.433333333334</v>
      </c>
      <c r="E194" s="1">
        <v>2999.0</v>
      </c>
      <c r="F194" s="1" t="s">
        <v>35</v>
      </c>
      <c r="G194" s="1" t="s">
        <v>27</v>
      </c>
      <c r="H194" s="1">
        <v>37.0</v>
      </c>
      <c r="I194" s="4" t="str">
        <f>IFERROR(VLOOKUP(C194,Merchants!$A$2:$D$41,2,FALSE),"Merchant not found")</f>
        <v>Merchant_034</v>
      </c>
      <c r="J194" s="4" t="str">
        <f>IFERROR(VLOOKUP(C194,Merchants!$A$2:$D$41,3,FALSE),"Merchant not found")</f>
        <v>travel</v>
      </c>
      <c r="K194" s="4" t="str">
        <f>IFERROR(VLOOKUP(C194,Merchants!$A$2:$D$41,4,FALSE),"Merchant not found")</f>
        <v>South</v>
      </c>
      <c r="L194" s="4">
        <f>IFERROR(HLOOKUP(F194,Fee_Lookup!$B$1:$E$2,2,FALSE),"Fee not found")</f>
        <v>0</v>
      </c>
      <c r="M194" s="5">
        <f t="shared" si="1"/>
        <v>46045</v>
      </c>
      <c r="N194" s="4" t="str">
        <f t="shared" si="2"/>
        <v>34|2026-01-23</v>
      </c>
      <c r="O194" s="4">
        <f>IFERROR(VLOOKUP(N194,Merchant_Daily!$A:$B,2,FALSE),0)</f>
        <v>3148</v>
      </c>
      <c r="P194" s="4" t="str">
        <f t="shared" si="3"/>
        <v>Standard Merchant Day</v>
      </c>
    </row>
    <row r="195">
      <c r="A195" s="1" t="s">
        <v>765</v>
      </c>
      <c r="B195" s="1">
        <v>221.0</v>
      </c>
      <c r="C195" s="1">
        <v>7.0</v>
      </c>
      <c r="D195" s="3">
        <v>46037.69305555556</v>
      </c>
      <c r="E195" s="1">
        <v>149.0</v>
      </c>
      <c r="F195" s="1" t="s">
        <v>47</v>
      </c>
      <c r="G195" s="1" t="s">
        <v>27</v>
      </c>
      <c r="H195" s="1">
        <v>89.0</v>
      </c>
      <c r="I195" s="4" t="str">
        <f>IFERROR(VLOOKUP(C195,Merchants!$A$2:$D$41,2,FALSE),"Merchant not found")</f>
        <v>Merchant_007</v>
      </c>
      <c r="J195" s="4" t="str">
        <f>IFERROR(VLOOKUP(C195,Merchants!$A$2:$D$41,3,FALSE),"Merchant not found")</f>
        <v>food_delivery</v>
      </c>
      <c r="K195" s="4" t="str">
        <f>IFERROR(VLOOKUP(C195,Merchants!$A$2:$D$41,4,FALSE),"Merchant not found")</f>
        <v>East</v>
      </c>
      <c r="L195" s="4">
        <f>IFERROR(HLOOKUP(F195,Fee_Lookup!$B$1:$E$2,2,FALSE),"Fee not found")</f>
        <v>0.015</v>
      </c>
      <c r="M195" s="5">
        <f t="shared" si="1"/>
        <v>46037</v>
      </c>
      <c r="N195" s="4" t="str">
        <f t="shared" si="2"/>
        <v>7|2026-01-15</v>
      </c>
      <c r="O195" s="4">
        <f>IFERROR(VLOOKUP(N195,Merchant_Daily!$A:$B,2,FALSE),0)</f>
        <v>1648</v>
      </c>
      <c r="P195" s="4" t="str">
        <f t="shared" si="3"/>
        <v>Standard Merchant Day</v>
      </c>
    </row>
    <row r="196">
      <c r="A196" s="1" t="s">
        <v>766</v>
      </c>
      <c r="B196" s="1">
        <v>283.0</v>
      </c>
      <c r="C196" s="1">
        <v>14.0</v>
      </c>
      <c r="D196" s="3">
        <v>46026.861805555556</v>
      </c>
      <c r="E196" s="1">
        <v>99.0</v>
      </c>
      <c r="F196" s="1" t="s">
        <v>26</v>
      </c>
      <c r="G196" s="1" t="s">
        <v>27</v>
      </c>
      <c r="H196" s="1">
        <v>55.0</v>
      </c>
      <c r="I196" s="4" t="str">
        <f>IFERROR(VLOOKUP(C196,Merchants!$A$2:$D$41,2,FALSE),"Merchant not found")</f>
        <v>Merchant_014</v>
      </c>
      <c r="J196" s="4" t="str">
        <f>IFERROR(VLOOKUP(C196,Merchants!$A$2:$D$41,3,FALSE),"Merchant not found")</f>
        <v>grocery</v>
      </c>
      <c r="K196" s="4" t="str">
        <f>IFERROR(VLOOKUP(C196,Merchants!$A$2:$D$41,4,FALSE),"Merchant not found")</f>
        <v>East</v>
      </c>
      <c r="L196" s="4">
        <f>IFERROR(HLOOKUP(F196,Fee_Lookup!$B$1:$E$2,2,FALSE),"Fee not found")</f>
        <v>0.005</v>
      </c>
      <c r="M196" s="5">
        <f t="shared" si="1"/>
        <v>46026</v>
      </c>
      <c r="N196" s="4" t="str">
        <f t="shared" si="2"/>
        <v>14|2026-01-04</v>
      </c>
      <c r="O196" s="4">
        <f>IFERROR(VLOOKUP(N196,Merchant_Daily!$A:$B,2,FALSE),0)</f>
        <v>99</v>
      </c>
      <c r="P196" s="4" t="str">
        <f t="shared" si="3"/>
        <v>Standard Merchant Day</v>
      </c>
    </row>
    <row r="197">
      <c r="A197" s="1" t="s">
        <v>767</v>
      </c>
      <c r="B197" s="1">
        <v>174.0</v>
      </c>
      <c r="C197" s="1">
        <v>30.0</v>
      </c>
      <c r="D197" s="3">
        <v>46037.30972222222</v>
      </c>
      <c r="E197" s="1">
        <v>49.0</v>
      </c>
      <c r="F197" s="1" t="s">
        <v>35</v>
      </c>
      <c r="G197" s="1" t="s">
        <v>27</v>
      </c>
      <c r="H197" s="1">
        <v>51.0</v>
      </c>
      <c r="I197" s="4" t="str">
        <f>IFERROR(VLOOKUP(C197,Merchants!$A$2:$D$41,2,FALSE),"Merchant not found")</f>
        <v>Merchant_030</v>
      </c>
      <c r="J197" s="4" t="str">
        <f>IFERROR(VLOOKUP(C197,Merchants!$A$2:$D$41,3,FALSE),"Merchant not found")</f>
        <v>travel</v>
      </c>
      <c r="K197" s="4" t="str">
        <f>IFERROR(VLOOKUP(C197,Merchants!$A$2:$D$41,4,FALSE),"Merchant not found")</f>
        <v>West</v>
      </c>
      <c r="L197" s="4">
        <f>IFERROR(HLOOKUP(F197,Fee_Lookup!$B$1:$E$2,2,FALSE),"Fee not found")</f>
        <v>0</v>
      </c>
      <c r="M197" s="5">
        <f t="shared" si="1"/>
        <v>46037</v>
      </c>
      <c r="N197" s="4" t="str">
        <f t="shared" si="2"/>
        <v>30|2026-01-15</v>
      </c>
      <c r="O197" s="4">
        <f>IFERROR(VLOOKUP(N197,Merchant_Daily!$A:$B,2,FALSE),0)</f>
        <v>49</v>
      </c>
      <c r="P197" s="4" t="str">
        <f t="shared" si="3"/>
        <v>Standard Merchant Day</v>
      </c>
    </row>
    <row r="198">
      <c r="A198" s="1" t="s">
        <v>768</v>
      </c>
      <c r="B198" s="1">
        <v>161.0</v>
      </c>
      <c r="C198" s="1">
        <v>28.0</v>
      </c>
      <c r="D198" s="3">
        <v>46036.9625</v>
      </c>
      <c r="E198" s="1">
        <v>49.0</v>
      </c>
      <c r="F198" s="1" t="s">
        <v>35</v>
      </c>
      <c r="G198" s="1" t="s">
        <v>27</v>
      </c>
      <c r="H198" s="1">
        <v>40.0</v>
      </c>
      <c r="I198" s="4" t="str">
        <f>IFERROR(VLOOKUP(C198,Merchants!$A$2:$D$41,2,FALSE),"Merchant not found")</f>
        <v>Merchant_028</v>
      </c>
      <c r="J198" s="4" t="str">
        <f>IFERROR(VLOOKUP(C198,Merchants!$A$2:$D$41,3,FALSE),"Merchant not found")</f>
        <v>ecommerce</v>
      </c>
      <c r="K198" s="4" t="str">
        <f>IFERROR(VLOOKUP(C198,Merchants!$A$2:$D$41,4,FALSE),"Merchant not found")</f>
        <v>South</v>
      </c>
      <c r="L198" s="4">
        <f>IFERROR(HLOOKUP(F198,Fee_Lookup!$B$1:$E$2,2,FALSE),"Fee not found")</f>
        <v>0</v>
      </c>
      <c r="M198" s="5">
        <f t="shared" si="1"/>
        <v>46036</v>
      </c>
      <c r="N198" s="4" t="str">
        <f t="shared" si="2"/>
        <v>28|2026-01-14</v>
      </c>
      <c r="O198" s="4">
        <f>IFERROR(VLOOKUP(N198,Merchant_Daily!$A:$B,2,FALSE),0)</f>
        <v>49</v>
      </c>
      <c r="P198" s="4" t="str">
        <f t="shared" si="3"/>
        <v>Standard Merchant Day</v>
      </c>
    </row>
    <row r="199">
      <c r="A199" s="1" t="s">
        <v>769</v>
      </c>
      <c r="B199" s="1">
        <v>79.0</v>
      </c>
      <c r="C199" s="1">
        <v>31.0</v>
      </c>
      <c r="D199" s="3">
        <v>46044.34930555556</v>
      </c>
      <c r="E199" s="1">
        <v>99.0</v>
      </c>
      <c r="F199" s="1" t="s">
        <v>35</v>
      </c>
      <c r="G199" s="1" t="s">
        <v>27</v>
      </c>
      <c r="H199" s="1">
        <v>8.0</v>
      </c>
      <c r="I199" s="4" t="str">
        <f>IFERROR(VLOOKUP(C199,Merchants!$A$2:$D$41,2,FALSE),"Merchant not found")</f>
        <v>Merchant_031</v>
      </c>
      <c r="J199" s="4" t="str">
        <f>IFERROR(VLOOKUP(C199,Merchants!$A$2:$D$41,3,FALSE),"Merchant not found")</f>
        <v>bill_payment</v>
      </c>
      <c r="K199" s="4" t="str">
        <f>IFERROR(VLOOKUP(C199,Merchants!$A$2:$D$41,4,FALSE),"Merchant not found")</f>
        <v>East</v>
      </c>
      <c r="L199" s="4">
        <f>IFERROR(HLOOKUP(F199,Fee_Lookup!$B$1:$E$2,2,FALSE),"Fee not found")</f>
        <v>0</v>
      </c>
      <c r="M199" s="5">
        <f t="shared" si="1"/>
        <v>46044</v>
      </c>
      <c r="N199" s="4" t="str">
        <f t="shared" si="2"/>
        <v>31|2026-01-22</v>
      </c>
      <c r="O199" s="4">
        <f>IFERROR(VLOOKUP(N199,Merchant_Daily!$A:$B,2,FALSE),0)</f>
        <v>99</v>
      </c>
      <c r="P199" s="4" t="str">
        <f t="shared" si="3"/>
        <v>Standard Merchant Day</v>
      </c>
    </row>
    <row r="200">
      <c r="A200" s="1" t="s">
        <v>770</v>
      </c>
      <c r="B200" s="1">
        <v>222.0</v>
      </c>
      <c r="C200" s="1">
        <v>7.0</v>
      </c>
      <c r="D200" s="3">
        <v>46025.086805555555</v>
      </c>
      <c r="E200" s="1">
        <v>149.0</v>
      </c>
      <c r="F200" s="1" t="s">
        <v>26</v>
      </c>
      <c r="G200" s="1" t="s">
        <v>27</v>
      </c>
      <c r="H200" s="1">
        <v>95.0</v>
      </c>
      <c r="I200" s="4" t="str">
        <f>IFERROR(VLOOKUP(C200,Merchants!$A$2:$D$41,2,FALSE),"Merchant not found")</f>
        <v>Merchant_007</v>
      </c>
      <c r="J200" s="4" t="str">
        <f>IFERROR(VLOOKUP(C200,Merchants!$A$2:$D$41,3,FALSE),"Merchant not found")</f>
        <v>food_delivery</v>
      </c>
      <c r="K200" s="4" t="str">
        <f>IFERROR(VLOOKUP(C200,Merchants!$A$2:$D$41,4,FALSE),"Merchant not found")</f>
        <v>East</v>
      </c>
      <c r="L200" s="4">
        <f>IFERROR(HLOOKUP(F200,Fee_Lookup!$B$1:$E$2,2,FALSE),"Fee not found")</f>
        <v>0.005</v>
      </c>
      <c r="M200" s="5">
        <f t="shared" si="1"/>
        <v>46025</v>
      </c>
      <c r="N200" s="4" t="str">
        <f t="shared" si="2"/>
        <v>7|2026-01-03</v>
      </c>
      <c r="O200" s="4">
        <f>IFERROR(VLOOKUP(N200,Merchant_Daily!$A:$B,2,FALSE),0)</f>
        <v>149</v>
      </c>
      <c r="P200" s="4" t="str">
        <f t="shared" si="3"/>
        <v>Standard Merchant Day</v>
      </c>
    </row>
    <row r="201">
      <c r="A201" s="1" t="s">
        <v>771</v>
      </c>
      <c r="B201" s="1">
        <v>67.0</v>
      </c>
      <c r="C201" s="1">
        <v>36.0</v>
      </c>
      <c r="D201" s="3">
        <v>46046.49375</v>
      </c>
      <c r="E201" s="1">
        <v>99.0</v>
      </c>
      <c r="F201" s="1" t="s">
        <v>35</v>
      </c>
      <c r="G201" s="1" t="s">
        <v>27</v>
      </c>
      <c r="H201" s="1">
        <v>7.0</v>
      </c>
      <c r="I201" s="4" t="str">
        <f>IFERROR(VLOOKUP(C201,Merchants!$A$2:$D$41,2,FALSE),"Merchant not found")</f>
        <v>Merchant_036</v>
      </c>
      <c r="J201" s="4" t="str">
        <f>IFERROR(VLOOKUP(C201,Merchants!$A$2:$D$41,3,FALSE),"Merchant not found")</f>
        <v>entertainment</v>
      </c>
      <c r="K201" s="4" t="str">
        <f>IFERROR(VLOOKUP(C201,Merchants!$A$2:$D$41,4,FALSE),"Merchant not found")</f>
        <v>East</v>
      </c>
      <c r="L201" s="4">
        <f>IFERROR(HLOOKUP(F201,Fee_Lookup!$B$1:$E$2,2,FALSE),"Fee not found")</f>
        <v>0</v>
      </c>
      <c r="M201" s="5">
        <f t="shared" si="1"/>
        <v>46046</v>
      </c>
      <c r="N201" s="4" t="str">
        <f t="shared" si="2"/>
        <v>36|2026-01-24</v>
      </c>
      <c r="O201" s="4">
        <f>IFERROR(VLOOKUP(N201,Merchant_Daily!$A:$B,2,FALSE),0)</f>
        <v>1647</v>
      </c>
      <c r="P201" s="4" t="str">
        <f t="shared" si="3"/>
        <v>Standard Merchant Day</v>
      </c>
    </row>
    <row r="202">
      <c r="A202" s="1" t="s">
        <v>772</v>
      </c>
      <c r="B202" s="1">
        <v>169.0</v>
      </c>
      <c r="C202" s="1">
        <v>8.0</v>
      </c>
      <c r="D202" s="3">
        <v>46041.73263888889</v>
      </c>
      <c r="E202" s="1">
        <v>99.0</v>
      </c>
      <c r="F202" s="1" t="s">
        <v>35</v>
      </c>
      <c r="G202" s="1" t="s">
        <v>27</v>
      </c>
      <c r="H202" s="1">
        <v>52.0</v>
      </c>
      <c r="I202" s="4" t="str">
        <f>IFERROR(VLOOKUP(C202,Merchants!$A$2:$D$41,2,FALSE),"Merchant not found")</f>
        <v>Merchant_008</v>
      </c>
      <c r="J202" s="4" t="str">
        <f>IFERROR(VLOOKUP(C202,Merchants!$A$2:$D$41,3,FALSE),"Merchant not found")</f>
        <v>food_delivery</v>
      </c>
      <c r="K202" s="4" t="str">
        <f>IFERROR(VLOOKUP(C202,Merchants!$A$2:$D$41,4,FALSE),"Merchant not found")</f>
        <v>North</v>
      </c>
      <c r="L202" s="4">
        <f>IFERROR(HLOOKUP(F202,Fee_Lookup!$B$1:$E$2,2,FALSE),"Fee not found")</f>
        <v>0</v>
      </c>
      <c r="M202" s="5">
        <f t="shared" si="1"/>
        <v>46041</v>
      </c>
      <c r="N202" s="4" t="str">
        <f t="shared" si="2"/>
        <v>8|2026-01-19</v>
      </c>
      <c r="O202" s="4">
        <f>IFERROR(VLOOKUP(N202,Merchant_Daily!$A:$B,2,FALSE),0)</f>
        <v>99</v>
      </c>
      <c r="P202" s="4" t="str">
        <f t="shared" si="3"/>
        <v>Standard Merchant Day</v>
      </c>
    </row>
    <row r="203">
      <c r="A203" s="1" t="s">
        <v>773</v>
      </c>
      <c r="B203" s="1">
        <v>217.0</v>
      </c>
      <c r="C203" s="1">
        <v>4.0</v>
      </c>
      <c r="D203" s="3">
        <v>46034.90833333333</v>
      </c>
      <c r="E203" s="1">
        <v>49.0</v>
      </c>
      <c r="F203" s="1" t="s">
        <v>35</v>
      </c>
      <c r="G203" s="1" t="s">
        <v>27</v>
      </c>
      <c r="H203" s="1">
        <v>36.0</v>
      </c>
      <c r="I203" s="4" t="str">
        <f>IFERROR(VLOOKUP(C203,Merchants!$A$2:$D$41,2,FALSE),"Merchant not found")</f>
        <v>Merchant_004</v>
      </c>
      <c r="J203" s="4" t="str">
        <f>IFERROR(VLOOKUP(C203,Merchants!$A$2:$D$41,3,FALSE),"Merchant not found")</f>
        <v>ecommerce</v>
      </c>
      <c r="K203" s="4" t="str">
        <f>IFERROR(VLOOKUP(C203,Merchants!$A$2:$D$41,4,FALSE),"Merchant not found")</f>
        <v>East</v>
      </c>
      <c r="L203" s="4">
        <f>IFERROR(HLOOKUP(F203,Fee_Lookup!$B$1:$E$2,2,FALSE),"Fee not found")</f>
        <v>0</v>
      </c>
      <c r="M203" s="5">
        <f t="shared" si="1"/>
        <v>46034</v>
      </c>
      <c r="N203" s="4" t="str">
        <f t="shared" si="2"/>
        <v>4|2026-01-12</v>
      </c>
      <c r="O203" s="4">
        <f>IFERROR(VLOOKUP(N203,Merchant_Daily!$A:$B,2,FALSE),0)</f>
        <v>49</v>
      </c>
      <c r="P203" s="4" t="str">
        <f t="shared" si="3"/>
        <v>Standard Merchant Day</v>
      </c>
    </row>
    <row r="204">
      <c r="A204" s="1" t="s">
        <v>774</v>
      </c>
      <c r="B204" s="1">
        <v>54.0</v>
      </c>
      <c r="C204" s="1">
        <v>37.0</v>
      </c>
      <c r="D204" s="3">
        <v>46042.39027777778</v>
      </c>
      <c r="E204" s="1">
        <v>149.0</v>
      </c>
      <c r="F204" s="1" t="s">
        <v>35</v>
      </c>
      <c r="G204" s="1" t="s">
        <v>27</v>
      </c>
      <c r="H204" s="1">
        <v>64.0</v>
      </c>
      <c r="I204" s="4" t="str">
        <f>IFERROR(VLOOKUP(C204,Merchants!$A$2:$D$41,2,FALSE),"Merchant not found")</f>
        <v>Merchant_037</v>
      </c>
      <c r="J204" s="4" t="str">
        <f>IFERROR(VLOOKUP(C204,Merchants!$A$2:$D$41,3,FALSE),"Merchant not found")</f>
        <v>entertainment</v>
      </c>
      <c r="K204" s="4" t="str">
        <f>IFERROR(VLOOKUP(C204,Merchants!$A$2:$D$41,4,FALSE),"Merchant not found")</f>
        <v>South</v>
      </c>
      <c r="L204" s="4">
        <f>IFERROR(HLOOKUP(F204,Fee_Lookup!$B$1:$E$2,2,FALSE),"Fee not found")</f>
        <v>0</v>
      </c>
      <c r="M204" s="5">
        <f t="shared" si="1"/>
        <v>46042</v>
      </c>
      <c r="N204" s="4" t="str">
        <f t="shared" si="2"/>
        <v>37|2026-01-20</v>
      </c>
      <c r="O204" s="4">
        <f>IFERROR(VLOOKUP(N204,Merchant_Daily!$A:$B,2,FALSE),0)</f>
        <v>149</v>
      </c>
      <c r="P204" s="4" t="str">
        <f t="shared" si="3"/>
        <v>Standard Merchant Day</v>
      </c>
    </row>
    <row r="205">
      <c r="A205" s="1" t="s">
        <v>775</v>
      </c>
      <c r="B205" s="1">
        <v>247.0</v>
      </c>
      <c r="C205" s="1">
        <v>15.0</v>
      </c>
      <c r="D205" s="3">
        <v>46029.19583333333</v>
      </c>
      <c r="E205" s="1">
        <v>49.0</v>
      </c>
      <c r="F205" s="1" t="s">
        <v>46</v>
      </c>
      <c r="G205" s="1" t="s">
        <v>27</v>
      </c>
      <c r="H205" s="1">
        <v>13.0</v>
      </c>
      <c r="I205" s="4" t="str">
        <f>IFERROR(VLOOKUP(C205,Merchants!$A$2:$D$41,2,FALSE),"Merchant not found")</f>
        <v>Merchant_015</v>
      </c>
      <c r="J205" s="4" t="str">
        <f>IFERROR(VLOOKUP(C205,Merchants!$A$2:$D$41,3,FALSE),"Merchant not found")</f>
        <v>travel</v>
      </c>
      <c r="K205" s="4" t="str">
        <f>IFERROR(VLOOKUP(C205,Merchants!$A$2:$D$41,4,FALSE),"Merchant not found")</f>
        <v>North</v>
      </c>
      <c r="L205" s="4">
        <f>IFERROR(HLOOKUP(F205,Fee_Lookup!$B$1:$E$2,2,FALSE),"Fee not found")</f>
        <v>0.01</v>
      </c>
      <c r="M205" s="5">
        <f t="shared" si="1"/>
        <v>46029</v>
      </c>
      <c r="N205" s="4" t="str">
        <f t="shared" si="2"/>
        <v>15|2026-01-07</v>
      </c>
      <c r="O205" s="4">
        <f>IFERROR(VLOOKUP(N205,Merchant_Daily!$A:$B,2,FALSE),0)</f>
        <v>49</v>
      </c>
      <c r="P205" s="4" t="str">
        <f t="shared" si="3"/>
        <v>Standard Merchant Day</v>
      </c>
    </row>
    <row r="206">
      <c r="A206" s="1" t="s">
        <v>776</v>
      </c>
      <c r="B206" s="1">
        <v>59.0</v>
      </c>
      <c r="C206" s="1">
        <v>18.0</v>
      </c>
      <c r="D206" s="3">
        <v>46034.72430555556</v>
      </c>
      <c r="E206" s="1">
        <v>49.0</v>
      </c>
      <c r="F206" s="1" t="s">
        <v>46</v>
      </c>
      <c r="G206" s="1" t="s">
        <v>27</v>
      </c>
      <c r="H206" s="1">
        <v>73.0</v>
      </c>
      <c r="I206" s="4" t="str">
        <f>IFERROR(VLOOKUP(C206,Merchants!$A$2:$D$41,2,FALSE),"Merchant not found")</f>
        <v>Merchant_018</v>
      </c>
      <c r="J206" s="4" t="str">
        <f>IFERROR(VLOOKUP(C206,Merchants!$A$2:$D$41,3,FALSE),"Merchant not found")</f>
        <v>grocery</v>
      </c>
      <c r="K206" s="4" t="str">
        <f>IFERROR(VLOOKUP(C206,Merchants!$A$2:$D$41,4,FALSE),"Merchant not found")</f>
        <v>West</v>
      </c>
      <c r="L206" s="4">
        <f>IFERROR(HLOOKUP(F206,Fee_Lookup!$B$1:$E$2,2,FALSE),"Fee not found")</f>
        <v>0.01</v>
      </c>
      <c r="M206" s="5">
        <f t="shared" si="1"/>
        <v>46034</v>
      </c>
      <c r="N206" s="4" t="str">
        <f t="shared" si="2"/>
        <v>18|2026-01-12</v>
      </c>
      <c r="O206" s="4">
        <f>IFERROR(VLOOKUP(N206,Merchant_Daily!$A:$B,2,FALSE),0)</f>
        <v>49</v>
      </c>
      <c r="P206" s="4" t="str">
        <f t="shared" si="3"/>
        <v>Standard Merchant Day</v>
      </c>
    </row>
    <row r="207">
      <c r="A207" s="1" t="s">
        <v>777</v>
      </c>
      <c r="B207" s="1">
        <v>288.0</v>
      </c>
      <c r="C207" s="1">
        <v>40.0</v>
      </c>
      <c r="D207" s="3">
        <v>46030.57916666667</v>
      </c>
      <c r="E207" s="1">
        <v>49.0</v>
      </c>
      <c r="F207" s="1" t="s">
        <v>35</v>
      </c>
      <c r="G207" s="1" t="s">
        <v>30</v>
      </c>
      <c r="H207" s="1">
        <v>78.0</v>
      </c>
      <c r="I207" s="4" t="str">
        <f>IFERROR(VLOOKUP(C207,Merchants!$A$2:$D$41,2,FALSE),"Merchant not found")</f>
        <v>Merchant_040</v>
      </c>
      <c r="J207" s="4" t="str">
        <f>IFERROR(VLOOKUP(C207,Merchants!$A$2:$D$41,3,FALSE),"Merchant not found")</f>
        <v>entertainment</v>
      </c>
      <c r="K207" s="4" t="str">
        <f>IFERROR(VLOOKUP(C207,Merchants!$A$2:$D$41,4,FALSE),"Merchant not found")</f>
        <v>South</v>
      </c>
      <c r="L207" s="4">
        <f>IFERROR(HLOOKUP(F207,Fee_Lookup!$B$1:$E$2,2,FALSE),"Fee not found")</f>
        <v>0</v>
      </c>
      <c r="M207" s="5">
        <f t="shared" si="1"/>
        <v>46030</v>
      </c>
      <c r="N207" s="4" t="str">
        <f t="shared" si="2"/>
        <v>40|2026-01-08</v>
      </c>
      <c r="O207" s="4">
        <f>IFERROR(VLOOKUP(N207,Merchant_Daily!$A:$B,2,FALSE),0)</f>
        <v>49</v>
      </c>
      <c r="P207" s="4" t="str">
        <f t="shared" si="3"/>
        <v>Standard Merchant Day</v>
      </c>
    </row>
    <row r="208">
      <c r="A208" s="1" t="s">
        <v>778</v>
      </c>
      <c r="B208" s="1">
        <v>14.0</v>
      </c>
      <c r="C208" s="1">
        <v>39.0</v>
      </c>
      <c r="D208" s="3">
        <v>46044.85763888889</v>
      </c>
      <c r="E208" s="1">
        <v>799.0</v>
      </c>
      <c r="F208" s="1" t="s">
        <v>35</v>
      </c>
      <c r="G208" s="1" t="s">
        <v>27</v>
      </c>
      <c r="H208" s="1">
        <v>84.0</v>
      </c>
      <c r="I208" s="4" t="str">
        <f>IFERROR(VLOOKUP(C208,Merchants!$A$2:$D$41,2,FALSE),"Merchant not found")</f>
        <v>Merchant_039</v>
      </c>
      <c r="J208" s="4" t="str">
        <f>IFERROR(VLOOKUP(C208,Merchants!$A$2:$D$41,3,FALSE),"Merchant not found")</f>
        <v>entertainment</v>
      </c>
      <c r="K208" s="4" t="str">
        <f>IFERROR(VLOOKUP(C208,Merchants!$A$2:$D$41,4,FALSE),"Merchant not found")</f>
        <v>North</v>
      </c>
      <c r="L208" s="4">
        <f>IFERROR(HLOOKUP(F208,Fee_Lookup!$B$1:$E$2,2,FALSE),"Fee not found")</f>
        <v>0</v>
      </c>
      <c r="M208" s="5">
        <f t="shared" si="1"/>
        <v>46044</v>
      </c>
      <c r="N208" s="4" t="str">
        <f t="shared" si="2"/>
        <v>39|2026-01-22</v>
      </c>
      <c r="O208" s="4">
        <f>IFERROR(VLOOKUP(N208,Merchant_Daily!$A:$B,2,FALSE),0)</f>
        <v>9796</v>
      </c>
      <c r="P208" s="4" t="str">
        <f t="shared" si="3"/>
        <v>High-Value Merchant Day</v>
      </c>
    </row>
    <row r="209">
      <c r="A209" s="1" t="s">
        <v>779</v>
      </c>
      <c r="B209" s="1">
        <v>15.0</v>
      </c>
      <c r="C209" s="1">
        <v>12.0</v>
      </c>
      <c r="D209" s="3">
        <v>46049.92847222222</v>
      </c>
      <c r="E209" s="1">
        <v>149.0</v>
      </c>
      <c r="F209" s="1" t="s">
        <v>35</v>
      </c>
      <c r="G209" s="1" t="s">
        <v>27</v>
      </c>
      <c r="H209" s="1">
        <v>34.0</v>
      </c>
      <c r="I209" s="4" t="str">
        <f>IFERROR(VLOOKUP(C209,Merchants!$A$2:$D$41,2,FALSE),"Merchant not found")</f>
        <v>Merchant_012</v>
      </c>
      <c r="J209" s="4" t="str">
        <f>IFERROR(VLOOKUP(C209,Merchants!$A$2:$D$41,3,FALSE),"Merchant not found")</f>
        <v>ecommerce</v>
      </c>
      <c r="K209" s="4" t="str">
        <f>IFERROR(VLOOKUP(C209,Merchants!$A$2:$D$41,4,FALSE),"Merchant not found")</f>
        <v>East</v>
      </c>
      <c r="L209" s="4">
        <f>IFERROR(HLOOKUP(F209,Fee_Lookup!$B$1:$E$2,2,FALSE),"Fee not found")</f>
        <v>0</v>
      </c>
      <c r="M209" s="5">
        <f t="shared" si="1"/>
        <v>46049</v>
      </c>
      <c r="N209" s="4" t="str">
        <f t="shared" si="2"/>
        <v>12|2026-01-27</v>
      </c>
      <c r="O209" s="4">
        <f>IFERROR(VLOOKUP(N209,Merchant_Daily!$A:$B,2,FALSE),0)</f>
        <v>149</v>
      </c>
      <c r="P209" s="4" t="str">
        <f t="shared" si="3"/>
        <v>Standard Merchant Day</v>
      </c>
    </row>
    <row r="210">
      <c r="A210" s="1" t="s">
        <v>780</v>
      </c>
      <c r="B210" s="1">
        <v>174.0</v>
      </c>
      <c r="C210" s="1">
        <v>23.0</v>
      </c>
      <c r="D210" s="3">
        <v>46045.41527777778</v>
      </c>
      <c r="E210" s="1">
        <v>149.0</v>
      </c>
      <c r="F210" s="1" t="s">
        <v>35</v>
      </c>
      <c r="G210" s="1" t="s">
        <v>27</v>
      </c>
      <c r="H210" s="1">
        <v>0.0</v>
      </c>
      <c r="I210" s="4" t="str">
        <f>IFERROR(VLOOKUP(C210,Merchants!$A$2:$D$41,2,FALSE),"Merchant not found")</f>
        <v>Merchant_023</v>
      </c>
      <c r="J210" s="4" t="str">
        <f>IFERROR(VLOOKUP(C210,Merchants!$A$2:$D$41,3,FALSE),"Merchant not found")</f>
        <v>travel</v>
      </c>
      <c r="K210" s="4" t="str">
        <f>IFERROR(VLOOKUP(C210,Merchants!$A$2:$D$41,4,FALSE),"Merchant not found")</f>
        <v>North</v>
      </c>
      <c r="L210" s="4">
        <f>IFERROR(HLOOKUP(F210,Fee_Lookup!$B$1:$E$2,2,FALSE),"Fee not found")</f>
        <v>0</v>
      </c>
      <c r="M210" s="5">
        <f t="shared" si="1"/>
        <v>46045</v>
      </c>
      <c r="N210" s="4" t="str">
        <f t="shared" si="2"/>
        <v>23|2026-01-23</v>
      </c>
      <c r="O210" s="4">
        <f>IFERROR(VLOOKUP(N210,Merchant_Daily!$A:$B,2,FALSE),0)</f>
        <v>247</v>
      </c>
      <c r="P210" s="4" t="str">
        <f t="shared" si="3"/>
        <v>Standard Merchant Day</v>
      </c>
    </row>
    <row r="211">
      <c r="A211" s="1" t="s">
        <v>781</v>
      </c>
      <c r="B211" s="1">
        <v>337.0</v>
      </c>
      <c r="C211" s="1">
        <v>26.0</v>
      </c>
      <c r="D211" s="3">
        <v>46028.191666666666</v>
      </c>
      <c r="E211" s="1">
        <v>49.0</v>
      </c>
      <c r="F211" s="1" t="s">
        <v>35</v>
      </c>
      <c r="G211" s="1" t="s">
        <v>27</v>
      </c>
      <c r="H211" s="1">
        <v>8.0</v>
      </c>
      <c r="I211" s="4" t="str">
        <f>IFERROR(VLOOKUP(C211,Merchants!$A$2:$D$41,2,FALSE),"Merchant not found")</f>
        <v>Merchant_026</v>
      </c>
      <c r="J211" s="4" t="str">
        <f>IFERROR(VLOOKUP(C211,Merchants!$A$2:$D$41,3,FALSE),"Merchant not found")</f>
        <v>food_delivery</v>
      </c>
      <c r="K211" s="4" t="str">
        <f>IFERROR(VLOOKUP(C211,Merchants!$A$2:$D$41,4,FALSE),"Merchant not found")</f>
        <v>East</v>
      </c>
      <c r="L211" s="4">
        <f>IFERROR(HLOOKUP(F211,Fee_Lookup!$B$1:$E$2,2,FALSE),"Fee not found")</f>
        <v>0</v>
      </c>
      <c r="M211" s="5">
        <f t="shared" si="1"/>
        <v>46028</v>
      </c>
      <c r="N211" s="4" t="str">
        <f t="shared" si="2"/>
        <v>26|2026-01-06</v>
      </c>
      <c r="O211" s="4">
        <f>IFERROR(VLOOKUP(N211,Merchant_Daily!$A:$B,2,FALSE),0)</f>
        <v>49</v>
      </c>
      <c r="P211" s="4" t="str">
        <f t="shared" si="3"/>
        <v>Standard Merchant Day</v>
      </c>
    </row>
    <row r="212">
      <c r="A212" s="1" t="s">
        <v>782</v>
      </c>
      <c r="B212" s="1">
        <v>16.0</v>
      </c>
      <c r="C212" s="1">
        <v>6.0</v>
      </c>
      <c r="D212" s="3">
        <v>46027.98611111111</v>
      </c>
      <c r="E212" s="1">
        <v>1499.0</v>
      </c>
      <c r="F212" s="1" t="s">
        <v>35</v>
      </c>
      <c r="G212" s="1" t="s">
        <v>27</v>
      </c>
      <c r="H212" s="1">
        <v>95.0</v>
      </c>
      <c r="I212" s="4" t="str">
        <f>IFERROR(VLOOKUP(C212,Merchants!$A$2:$D$41,2,FALSE),"Merchant not found")</f>
        <v>Merchant_006</v>
      </c>
      <c r="J212" s="4" t="str">
        <f>IFERROR(VLOOKUP(C212,Merchants!$A$2:$D$41,3,FALSE),"Merchant not found")</f>
        <v>food_delivery</v>
      </c>
      <c r="K212" s="4" t="str">
        <f>IFERROR(VLOOKUP(C212,Merchants!$A$2:$D$41,4,FALSE),"Merchant not found")</f>
        <v>South</v>
      </c>
      <c r="L212" s="4">
        <f>IFERROR(HLOOKUP(F212,Fee_Lookup!$B$1:$E$2,2,FALSE),"Fee not found")</f>
        <v>0</v>
      </c>
      <c r="M212" s="5">
        <f t="shared" si="1"/>
        <v>46027</v>
      </c>
      <c r="N212" s="4" t="str">
        <f t="shared" si="2"/>
        <v>6|2026-01-05</v>
      </c>
      <c r="O212" s="4">
        <f>IFERROR(VLOOKUP(N212,Merchant_Daily!$A:$B,2,FALSE),0)</f>
        <v>1499</v>
      </c>
      <c r="P212" s="4" t="str">
        <f t="shared" si="3"/>
        <v>Standard Merchant Day</v>
      </c>
    </row>
    <row r="213">
      <c r="A213" s="1" t="s">
        <v>783</v>
      </c>
      <c r="B213" s="1">
        <v>215.0</v>
      </c>
      <c r="C213" s="1">
        <v>30.0</v>
      </c>
      <c r="D213" s="3">
        <v>46039.26666666667</v>
      </c>
      <c r="E213" s="1">
        <v>49.0</v>
      </c>
      <c r="F213" s="1" t="s">
        <v>35</v>
      </c>
      <c r="G213" s="1" t="s">
        <v>27</v>
      </c>
      <c r="H213" s="1">
        <v>43.0</v>
      </c>
      <c r="I213" s="4" t="str">
        <f>IFERROR(VLOOKUP(C213,Merchants!$A$2:$D$41,2,FALSE),"Merchant not found")</f>
        <v>Merchant_030</v>
      </c>
      <c r="J213" s="4" t="str">
        <f>IFERROR(VLOOKUP(C213,Merchants!$A$2:$D$41,3,FALSE),"Merchant not found")</f>
        <v>travel</v>
      </c>
      <c r="K213" s="4" t="str">
        <f>IFERROR(VLOOKUP(C213,Merchants!$A$2:$D$41,4,FALSE),"Merchant not found")</f>
        <v>West</v>
      </c>
      <c r="L213" s="4">
        <f>IFERROR(HLOOKUP(F213,Fee_Lookup!$B$1:$E$2,2,FALSE),"Fee not found")</f>
        <v>0</v>
      </c>
      <c r="M213" s="5">
        <f t="shared" si="1"/>
        <v>46039</v>
      </c>
      <c r="N213" s="4" t="str">
        <f t="shared" si="2"/>
        <v>30|2026-01-17</v>
      </c>
      <c r="O213" s="4">
        <f>IFERROR(VLOOKUP(N213,Merchant_Daily!$A:$B,2,FALSE),0)</f>
        <v>49</v>
      </c>
      <c r="P213" s="4" t="str">
        <f t="shared" si="3"/>
        <v>Standard Merchant Day</v>
      </c>
    </row>
    <row r="214">
      <c r="A214" s="1" t="s">
        <v>784</v>
      </c>
      <c r="B214" s="1">
        <v>167.0</v>
      </c>
      <c r="C214" s="1">
        <v>37.0</v>
      </c>
      <c r="D214" s="3">
        <v>46028.47152777778</v>
      </c>
      <c r="E214" s="1">
        <v>99.0</v>
      </c>
      <c r="F214" s="1" t="s">
        <v>35</v>
      </c>
      <c r="G214" s="1" t="s">
        <v>27</v>
      </c>
      <c r="H214" s="1">
        <v>76.0</v>
      </c>
      <c r="I214" s="4" t="str">
        <f>IFERROR(VLOOKUP(C214,Merchants!$A$2:$D$41,2,FALSE),"Merchant not found")</f>
        <v>Merchant_037</v>
      </c>
      <c r="J214" s="4" t="str">
        <f>IFERROR(VLOOKUP(C214,Merchants!$A$2:$D$41,3,FALSE),"Merchant not found")</f>
        <v>entertainment</v>
      </c>
      <c r="K214" s="4" t="str">
        <f>IFERROR(VLOOKUP(C214,Merchants!$A$2:$D$41,4,FALSE),"Merchant not found")</f>
        <v>South</v>
      </c>
      <c r="L214" s="4">
        <f>IFERROR(HLOOKUP(F214,Fee_Lookup!$B$1:$E$2,2,FALSE),"Fee not found")</f>
        <v>0</v>
      </c>
      <c r="M214" s="5">
        <f t="shared" si="1"/>
        <v>46028</v>
      </c>
      <c r="N214" s="4" t="str">
        <f t="shared" si="2"/>
        <v>37|2026-01-06</v>
      </c>
      <c r="O214" s="4">
        <f>IFERROR(VLOOKUP(N214,Merchant_Daily!$A:$B,2,FALSE),0)</f>
        <v>99</v>
      </c>
      <c r="P214" s="4" t="str">
        <f t="shared" si="3"/>
        <v>Standard Merchant Day</v>
      </c>
    </row>
    <row r="215">
      <c r="A215" s="1" t="s">
        <v>785</v>
      </c>
      <c r="B215" s="1">
        <v>81.0</v>
      </c>
      <c r="C215" s="1">
        <v>40.0</v>
      </c>
      <c r="D215" s="3">
        <v>46025.04791666667</v>
      </c>
      <c r="E215" s="1">
        <v>49.0</v>
      </c>
      <c r="F215" s="1" t="s">
        <v>35</v>
      </c>
      <c r="G215" s="1" t="s">
        <v>27</v>
      </c>
      <c r="H215" s="1">
        <v>6.0</v>
      </c>
      <c r="I215" s="4" t="str">
        <f>IFERROR(VLOOKUP(C215,Merchants!$A$2:$D$41,2,FALSE),"Merchant not found")</f>
        <v>Merchant_040</v>
      </c>
      <c r="J215" s="4" t="str">
        <f>IFERROR(VLOOKUP(C215,Merchants!$A$2:$D$41,3,FALSE),"Merchant not found")</f>
        <v>entertainment</v>
      </c>
      <c r="K215" s="4" t="str">
        <f>IFERROR(VLOOKUP(C215,Merchants!$A$2:$D$41,4,FALSE),"Merchant not found")</f>
        <v>South</v>
      </c>
      <c r="L215" s="4">
        <f>IFERROR(HLOOKUP(F215,Fee_Lookup!$B$1:$E$2,2,FALSE),"Fee not found")</f>
        <v>0</v>
      </c>
      <c r="M215" s="5">
        <f t="shared" si="1"/>
        <v>46025</v>
      </c>
      <c r="N215" s="4" t="str">
        <f t="shared" si="2"/>
        <v>40|2026-01-03</v>
      </c>
      <c r="O215" s="4">
        <f>IFERROR(VLOOKUP(N215,Merchant_Daily!$A:$B,2,FALSE),0)</f>
        <v>49</v>
      </c>
      <c r="P215" s="4" t="str">
        <f t="shared" si="3"/>
        <v>Standard Merchant Day</v>
      </c>
    </row>
    <row r="216">
      <c r="A216" s="1" t="s">
        <v>786</v>
      </c>
      <c r="B216" s="1">
        <v>227.0</v>
      </c>
      <c r="C216" s="1">
        <v>28.0</v>
      </c>
      <c r="D216" s="3">
        <v>46044.095138888886</v>
      </c>
      <c r="E216" s="1">
        <v>99.0</v>
      </c>
      <c r="F216" s="1" t="s">
        <v>35</v>
      </c>
      <c r="G216" s="1" t="s">
        <v>27</v>
      </c>
      <c r="H216" s="1">
        <v>62.0</v>
      </c>
      <c r="I216" s="4" t="str">
        <f>IFERROR(VLOOKUP(C216,Merchants!$A$2:$D$41,2,FALSE),"Merchant not found")</f>
        <v>Merchant_028</v>
      </c>
      <c r="J216" s="4" t="str">
        <f>IFERROR(VLOOKUP(C216,Merchants!$A$2:$D$41,3,FALSE),"Merchant not found")</f>
        <v>ecommerce</v>
      </c>
      <c r="K216" s="4" t="str">
        <f>IFERROR(VLOOKUP(C216,Merchants!$A$2:$D$41,4,FALSE),"Merchant not found")</f>
        <v>South</v>
      </c>
      <c r="L216" s="4">
        <f>IFERROR(HLOOKUP(F216,Fee_Lookup!$B$1:$E$2,2,FALSE),"Fee not found")</f>
        <v>0</v>
      </c>
      <c r="M216" s="5">
        <f t="shared" si="1"/>
        <v>46044</v>
      </c>
      <c r="N216" s="4" t="str">
        <f t="shared" si="2"/>
        <v>28|2026-01-22</v>
      </c>
      <c r="O216" s="4">
        <f>IFERROR(VLOOKUP(N216,Merchant_Daily!$A:$B,2,FALSE),0)</f>
        <v>99</v>
      </c>
      <c r="P216" s="4" t="str">
        <f t="shared" si="3"/>
        <v>Standard Merchant Day</v>
      </c>
    </row>
    <row r="217">
      <c r="A217" s="1" t="s">
        <v>787</v>
      </c>
      <c r="B217" s="1">
        <v>140.0</v>
      </c>
      <c r="C217" s="1">
        <v>14.0</v>
      </c>
      <c r="D217" s="3">
        <v>46042.60138888889</v>
      </c>
      <c r="E217" s="1">
        <v>299.0</v>
      </c>
      <c r="F217" s="1" t="s">
        <v>26</v>
      </c>
      <c r="G217" s="1" t="s">
        <v>27</v>
      </c>
      <c r="H217" s="1">
        <v>96.0</v>
      </c>
      <c r="I217" s="4" t="str">
        <f>IFERROR(VLOOKUP(C217,Merchants!$A$2:$D$41,2,FALSE),"Merchant not found")</f>
        <v>Merchant_014</v>
      </c>
      <c r="J217" s="4" t="str">
        <f>IFERROR(VLOOKUP(C217,Merchants!$A$2:$D$41,3,FALSE),"Merchant not found")</f>
        <v>grocery</v>
      </c>
      <c r="K217" s="4" t="str">
        <f>IFERROR(VLOOKUP(C217,Merchants!$A$2:$D$41,4,FALSE),"Merchant not found")</f>
        <v>East</v>
      </c>
      <c r="L217" s="4">
        <f>IFERROR(HLOOKUP(F217,Fee_Lookup!$B$1:$E$2,2,FALSE),"Fee not found")</f>
        <v>0.005</v>
      </c>
      <c r="M217" s="5">
        <f t="shared" si="1"/>
        <v>46042</v>
      </c>
      <c r="N217" s="4" t="str">
        <f t="shared" si="2"/>
        <v>14|2026-01-20</v>
      </c>
      <c r="O217" s="4">
        <f>IFERROR(VLOOKUP(N217,Merchant_Daily!$A:$B,2,FALSE),0)</f>
        <v>299</v>
      </c>
      <c r="P217" s="4" t="str">
        <f t="shared" si="3"/>
        <v>Standard Merchant Day</v>
      </c>
    </row>
    <row r="218">
      <c r="A218" s="1" t="s">
        <v>788</v>
      </c>
      <c r="B218" s="1">
        <v>221.0</v>
      </c>
      <c r="C218" s="1">
        <v>8.0</v>
      </c>
      <c r="D218" s="3">
        <v>46039.14027777778</v>
      </c>
      <c r="E218" s="1">
        <v>299.0</v>
      </c>
      <c r="F218" s="1" t="s">
        <v>35</v>
      </c>
      <c r="G218" s="1" t="s">
        <v>27</v>
      </c>
      <c r="H218" s="1">
        <v>36.0</v>
      </c>
      <c r="I218" s="4" t="str">
        <f>IFERROR(VLOOKUP(C218,Merchants!$A$2:$D$41,2,FALSE),"Merchant not found")</f>
        <v>Merchant_008</v>
      </c>
      <c r="J218" s="4" t="str">
        <f>IFERROR(VLOOKUP(C218,Merchants!$A$2:$D$41,3,FALSE),"Merchant not found")</f>
        <v>food_delivery</v>
      </c>
      <c r="K218" s="4" t="str">
        <f>IFERROR(VLOOKUP(C218,Merchants!$A$2:$D$41,4,FALSE),"Merchant not found")</f>
        <v>North</v>
      </c>
      <c r="L218" s="4">
        <f>IFERROR(HLOOKUP(F218,Fee_Lookup!$B$1:$E$2,2,FALSE),"Fee not found")</f>
        <v>0</v>
      </c>
      <c r="M218" s="5">
        <f t="shared" si="1"/>
        <v>46039</v>
      </c>
      <c r="N218" s="4" t="str">
        <f t="shared" si="2"/>
        <v>8|2026-01-17</v>
      </c>
      <c r="O218" s="4">
        <f>IFERROR(VLOOKUP(N218,Merchant_Daily!$A:$B,2,FALSE),0)</f>
        <v>348</v>
      </c>
      <c r="P218" s="4" t="str">
        <f t="shared" si="3"/>
        <v>Standard Merchant Day</v>
      </c>
    </row>
    <row r="219">
      <c r="A219" s="1" t="s">
        <v>789</v>
      </c>
      <c r="B219" s="1">
        <v>250.0</v>
      </c>
      <c r="C219" s="1">
        <v>34.0</v>
      </c>
      <c r="D219" s="3">
        <v>46044.90069444444</v>
      </c>
      <c r="E219" s="1">
        <v>299.0</v>
      </c>
      <c r="F219" s="1" t="s">
        <v>26</v>
      </c>
      <c r="G219" s="1" t="s">
        <v>27</v>
      </c>
      <c r="H219" s="1">
        <v>85.0</v>
      </c>
      <c r="I219" s="4" t="str">
        <f>IFERROR(VLOOKUP(C219,Merchants!$A$2:$D$41,2,FALSE),"Merchant not found")</f>
        <v>Merchant_034</v>
      </c>
      <c r="J219" s="4" t="str">
        <f>IFERROR(VLOOKUP(C219,Merchants!$A$2:$D$41,3,FALSE),"Merchant not found")</f>
        <v>travel</v>
      </c>
      <c r="K219" s="4" t="str">
        <f>IFERROR(VLOOKUP(C219,Merchants!$A$2:$D$41,4,FALSE),"Merchant not found")</f>
        <v>South</v>
      </c>
      <c r="L219" s="4">
        <f>IFERROR(HLOOKUP(F219,Fee_Lookup!$B$1:$E$2,2,FALSE),"Fee not found")</f>
        <v>0.005</v>
      </c>
      <c r="M219" s="5">
        <f t="shared" si="1"/>
        <v>46044</v>
      </c>
      <c r="N219" s="4" t="str">
        <f t="shared" si="2"/>
        <v>34|2026-01-22</v>
      </c>
      <c r="O219" s="4">
        <f>IFERROR(VLOOKUP(N219,Merchant_Daily!$A:$B,2,FALSE),0)</f>
        <v>299</v>
      </c>
      <c r="P219" s="4" t="str">
        <f t="shared" si="3"/>
        <v>Standard Merchant Day</v>
      </c>
    </row>
    <row r="220">
      <c r="A220" s="1" t="s">
        <v>790</v>
      </c>
      <c r="B220" s="1">
        <v>203.0</v>
      </c>
      <c r="C220" s="1">
        <v>39.0</v>
      </c>
      <c r="D220" s="3">
        <v>46032.05138888889</v>
      </c>
      <c r="E220" s="1">
        <v>49.0</v>
      </c>
      <c r="F220" s="1" t="s">
        <v>35</v>
      </c>
      <c r="G220" s="1" t="s">
        <v>27</v>
      </c>
      <c r="H220" s="1">
        <v>7.0</v>
      </c>
      <c r="I220" s="4" t="str">
        <f>IFERROR(VLOOKUP(C220,Merchants!$A$2:$D$41,2,FALSE),"Merchant not found")</f>
        <v>Merchant_039</v>
      </c>
      <c r="J220" s="4" t="str">
        <f>IFERROR(VLOOKUP(C220,Merchants!$A$2:$D$41,3,FALSE),"Merchant not found")</f>
        <v>entertainment</v>
      </c>
      <c r="K220" s="4" t="str">
        <f>IFERROR(VLOOKUP(C220,Merchants!$A$2:$D$41,4,FALSE),"Merchant not found")</f>
        <v>North</v>
      </c>
      <c r="L220" s="4">
        <f>IFERROR(HLOOKUP(F220,Fee_Lookup!$B$1:$E$2,2,FALSE),"Fee not found")</f>
        <v>0</v>
      </c>
      <c r="M220" s="5">
        <f t="shared" si="1"/>
        <v>46032</v>
      </c>
      <c r="N220" s="4" t="str">
        <f t="shared" si="2"/>
        <v>39|2026-01-10</v>
      </c>
      <c r="O220" s="4">
        <f>IFERROR(VLOOKUP(N220,Merchant_Daily!$A:$B,2,FALSE),0)</f>
        <v>49</v>
      </c>
      <c r="P220" s="4" t="str">
        <f t="shared" si="3"/>
        <v>Standard Merchant Day</v>
      </c>
    </row>
    <row r="221">
      <c r="A221" s="1" t="s">
        <v>791</v>
      </c>
      <c r="B221" s="1">
        <v>109.0</v>
      </c>
      <c r="C221" s="1">
        <v>9.0</v>
      </c>
      <c r="D221" s="3">
        <v>46023.263194444444</v>
      </c>
      <c r="E221" s="1">
        <v>499.0</v>
      </c>
      <c r="F221" s="1" t="s">
        <v>26</v>
      </c>
      <c r="G221" s="1" t="s">
        <v>27</v>
      </c>
      <c r="H221" s="1">
        <v>97.0</v>
      </c>
      <c r="I221" s="4" t="str">
        <f>IFERROR(VLOOKUP(C221,Merchants!$A$2:$D$41,2,FALSE),"Merchant not found")</f>
        <v>Merchant_009</v>
      </c>
      <c r="J221" s="4" t="str">
        <f>IFERROR(VLOOKUP(C221,Merchants!$A$2:$D$41,3,FALSE),"Merchant not found")</f>
        <v>ecommerce</v>
      </c>
      <c r="K221" s="4" t="str">
        <f>IFERROR(VLOOKUP(C221,Merchants!$A$2:$D$41,4,FALSE),"Merchant not found")</f>
        <v>North</v>
      </c>
      <c r="L221" s="4">
        <f>IFERROR(HLOOKUP(F221,Fee_Lookup!$B$1:$E$2,2,FALSE),"Fee not found")</f>
        <v>0.005</v>
      </c>
      <c r="M221" s="5">
        <f t="shared" si="1"/>
        <v>46023</v>
      </c>
      <c r="N221" s="4" t="str">
        <f t="shared" si="2"/>
        <v>9|2026-01-01</v>
      </c>
      <c r="O221" s="4">
        <f>IFERROR(VLOOKUP(N221,Merchant_Daily!$A:$B,2,FALSE),0)</f>
        <v>499</v>
      </c>
      <c r="P221" s="4" t="str">
        <f t="shared" si="3"/>
        <v>Standard Merchant Day</v>
      </c>
    </row>
    <row r="222">
      <c r="A222" s="1" t="s">
        <v>792</v>
      </c>
      <c r="B222" s="1">
        <v>62.0</v>
      </c>
      <c r="C222" s="1">
        <v>1.0</v>
      </c>
      <c r="D222" s="3">
        <v>46031.38888888889</v>
      </c>
      <c r="E222" s="1">
        <v>4999.0</v>
      </c>
      <c r="F222" s="1" t="s">
        <v>26</v>
      </c>
      <c r="G222" s="1" t="s">
        <v>27</v>
      </c>
      <c r="H222" s="1">
        <v>63.0</v>
      </c>
      <c r="I222" s="4" t="str">
        <f>IFERROR(VLOOKUP(C222,Merchants!$A$2:$D$41,2,FALSE),"Merchant not found")</f>
        <v>Merchant_001</v>
      </c>
      <c r="J222" s="4" t="str">
        <f>IFERROR(VLOOKUP(C222,Merchants!$A$2:$D$41,3,FALSE),"Merchant not found")</f>
        <v>ecommerce</v>
      </c>
      <c r="K222" s="4" t="str">
        <f>IFERROR(VLOOKUP(C222,Merchants!$A$2:$D$41,4,FALSE),"Merchant not found")</f>
        <v>South</v>
      </c>
      <c r="L222" s="4">
        <f>IFERROR(HLOOKUP(F222,Fee_Lookup!$B$1:$E$2,2,FALSE),"Fee not found")</f>
        <v>0.005</v>
      </c>
      <c r="M222" s="5">
        <f t="shared" si="1"/>
        <v>46031</v>
      </c>
      <c r="N222" s="4" t="str">
        <f t="shared" si="2"/>
        <v>1|2026-01-09</v>
      </c>
      <c r="O222" s="4">
        <f>IFERROR(VLOOKUP(N222,Merchant_Daily!$A:$B,2,FALSE),0)</f>
        <v>5048</v>
      </c>
      <c r="P222" s="4" t="str">
        <f t="shared" si="3"/>
        <v>High-Value Merchant Day</v>
      </c>
    </row>
    <row r="223">
      <c r="A223" s="1" t="s">
        <v>793</v>
      </c>
      <c r="B223" s="1">
        <v>67.0</v>
      </c>
      <c r="C223" s="1">
        <v>25.0</v>
      </c>
      <c r="D223" s="3">
        <v>46046.549305555556</v>
      </c>
      <c r="E223" s="1">
        <v>49.0</v>
      </c>
      <c r="F223" s="1" t="s">
        <v>35</v>
      </c>
      <c r="G223" s="1" t="s">
        <v>27</v>
      </c>
      <c r="H223" s="1">
        <v>68.0</v>
      </c>
      <c r="I223" s="4" t="str">
        <f>IFERROR(VLOOKUP(C223,Merchants!$A$2:$D$41,2,FALSE),"Merchant not found")</f>
        <v>Merchant_025</v>
      </c>
      <c r="J223" s="4" t="str">
        <f>IFERROR(VLOOKUP(C223,Merchants!$A$2:$D$41,3,FALSE),"Merchant not found")</f>
        <v>travel</v>
      </c>
      <c r="K223" s="4" t="str">
        <f>IFERROR(VLOOKUP(C223,Merchants!$A$2:$D$41,4,FALSE),"Merchant not found")</f>
        <v>South</v>
      </c>
      <c r="L223" s="4">
        <f>IFERROR(HLOOKUP(F223,Fee_Lookup!$B$1:$E$2,2,FALSE),"Fee not found")</f>
        <v>0</v>
      </c>
      <c r="M223" s="5">
        <f t="shared" si="1"/>
        <v>46046</v>
      </c>
      <c r="N223" s="4" t="str">
        <f t="shared" si="2"/>
        <v>25|2026-01-24</v>
      </c>
      <c r="O223" s="4">
        <f>IFERROR(VLOOKUP(N223,Merchant_Daily!$A:$B,2,FALSE),0)</f>
        <v>497</v>
      </c>
      <c r="P223" s="4" t="str">
        <f t="shared" si="3"/>
        <v>Standard Merchant Day</v>
      </c>
    </row>
    <row r="224">
      <c r="A224" s="1" t="s">
        <v>794</v>
      </c>
      <c r="B224" s="1">
        <v>287.0</v>
      </c>
      <c r="C224" s="1">
        <v>23.0</v>
      </c>
      <c r="D224" s="3">
        <v>46045.313888888886</v>
      </c>
      <c r="E224" s="1">
        <v>49.0</v>
      </c>
      <c r="F224" s="1" t="s">
        <v>35</v>
      </c>
      <c r="G224" s="1" t="s">
        <v>27</v>
      </c>
      <c r="H224" s="1">
        <v>9.0</v>
      </c>
      <c r="I224" s="4" t="str">
        <f>IFERROR(VLOOKUP(C224,Merchants!$A$2:$D$41,2,FALSE),"Merchant not found")</f>
        <v>Merchant_023</v>
      </c>
      <c r="J224" s="4" t="str">
        <f>IFERROR(VLOOKUP(C224,Merchants!$A$2:$D$41,3,FALSE),"Merchant not found")</f>
        <v>travel</v>
      </c>
      <c r="K224" s="4" t="str">
        <f>IFERROR(VLOOKUP(C224,Merchants!$A$2:$D$41,4,FALSE),"Merchant not found")</f>
        <v>North</v>
      </c>
      <c r="L224" s="4">
        <f>IFERROR(HLOOKUP(F224,Fee_Lookup!$B$1:$E$2,2,FALSE),"Fee not found")</f>
        <v>0</v>
      </c>
      <c r="M224" s="5">
        <f t="shared" si="1"/>
        <v>46045</v>
      </c>
      <c r="N224" s="4" t="str">
        <f t="shared" si="2"/>
        <v>23|2026-01-23</v>
      </c>
      <c r="O224" s="4">
        <f>IFERROR(VLOOKUP(N224,Merchant_Daily!$A:$B,2,FALSE),0)</f>
        <v>247</v>
      </c>
      <c r="P224" s="4" t="str">
        <f t="shared" si="3"/>
        <v>Standard Merchant Day</v>
      </c>
    </row>
    <row r="225">
      <c r="A225" s="1" t="s">
        <v>795</v>
      </c>
      <c r="B225" s="1">
        <v>224.0</v>
      </c>
      <c r="C225" s="1">
        <v>2.0</v>
      </c>
      <c r="D225" s="3">
        <v>46035.95972222222</v>
      </c>
      <c r="E225" s="1">
        <v>49.0</v>
      </c>
      <c r="F225" s="1" t="s">
        <v>46</v>
      </c>
      <c r="G225" s="1" t="s">
        <v>27</v>
      </c>
      <c r="H225" s="1">
        <v>58.0</v>
      </c>
      <c r="I225" s="4" t="str">
        <f>IFERROR(VLOOKUP(C225,Merchants!$A$2:$D$41,2,FALSE),"Merchant not found")</f>
        <v>Merchant_002</v>
      </c>
      <c r="J225" s="4" t="str">
        <f>IFERROR(VLOOKUP(C225,Merchants!$A$2:$D$41,3,FALSE),"Merchant not found")</f>
        <v>grocery</v>
      </c>
      <c r="K225" s="4" t="str">
        <f>IFERROR(VLOOKUP(C225,Merchants!$A$2:$D$41,4,FALSE),"Merchant not found")</f>
        <v>West</v>
      </c>
      <c r="L225" s="4">
        <f>IFERROR(HLOOKUP(F225,Fee_Lookup!$B$1:$E$2,2,FALSE),"Fee not found")</f>
        <v>0.01</v>
      </c>
      <c r="M225" s="5">
        <f t="shared" si="1"/>
        <v>46035</v>
      </c>
      <c r="N225" s="4" t="str">
        <f t="shared" si="2"/>
        <v>2|2026-01-13</v>
      </c>
      <c r="O225" s="4">
        <f>IFERROR(VLOOKUP(N225,Merchant_Daily!$A:$B,2,FALSE),0)</f>
        <v>49</v>
      </c>
      <c r="P225" s="4" t="str">
        <f t="shared" si="3"/>
        <v>Standard Merchant Day</v>
      </c>
    </row>
    <row r="226">
      <c r="A226" s="1" t="s">
        <v>796</v>
      </c>
      <c r="B226" s="1">
        <v>161.0</v>
      </c>
      <c r="C226" s="1">
        <v>37.0</v>
      </c>
      <c r="D226" s="3">
        <v>46052.12152777778</v>
      </c>
      <c r="E226" s="1">
        <v>299.0</v>
      </c>
      <c r="F226" s="1" t="s">
        <v>35</v>
      </c>
      <c r="G226" s="1" t="s">
        <v>27</v>
      </c>
      <c r="H226" s="1">
        <v>54.0</v>
      </c>
      <c r="I226" s="4" t="str">
        <f>IFERROR(VLOOKUP(C226,Merchants!$A$2:$D$41,2,FALSE),"Merchant not found")</f>
        <v>Merchant_037</v>
      </c>
      <c r="J226" s="4" t="str">
        <f>IFERROR(VLOOKUP(C226,Merchants!$A$2:$D$41,3,FALSE),"Merchant not found")</f>
        <v>entertainment</v>
      </c>
      <c r="K226" s="4" t="str">
        <f>IFERROR(VLOOKUP(C226,Merchants!$A$2:$D$41,4,FALSE),"Merchant not found")</f>
        <v>South</v>
      </c>
      <c r="L226" s="4">
        <f>IFERROR(HLOOKUP(F226,Fee_Lookup!$B$1:$E$2,2,FALSE),"Fee not found")</f>
        <v>0</v>
      </c>
      <c r="M226" s="5">
        <f t="shared" si="1"/>
        <v>46052</v>
      </c>
      <c r="N226" s="4" t="str">
        <f t="shared" si="2"/>
        <v>37|2026-01-30</v>
      </c>
      <c r="O226" s="4">
        <f>IFERROR(VLOOKUP(N226,Merchant_Daily!$A:$B,2,FALSE),0)</f>
        <v>299</v>
      </c>
      <c r="P226" s="4" t="str">
        <f t="shared" si="3"/>
        <v>Standard Merchant Day</v>
      </c>
    </row>
    <row r="227">
      <c r="A227" s="1" t="s">
        <v>797</v>
      </c>
      <c r="B227" s="1">
        <v>328.0</v>
      </c>
      <c r="C227" s="1">
        <v>27.0</v>
      </c>
      <c r="D227" s="3">
        <v>46041.53125</v>
      </c>
      <c r="E227" s="1">
        <v>49.0</v>
      </c>
      <c r="F227" s="1" t="s">
        <v>35</v>
      </c>
      <c r="G227" s="1" t="s">
        <v>34</v>
      </c>
      <c r="H227" s="1">
        <v>37.0</v>
      </c>
      <c r="I227" s="4" t="str">
        <f>IFERROR(VLOOKUP(C227,Merchants!$A$2:$D$41,2,FALSE),"Merchant not found")</f>
        <v>Merchant_027</v>
      </c>
      <c r="J227" s="4" t="str">
        <f>IFERROR(VLOOKUP(C227,Merchants!$A$2:$D$41,3,FALSE),"Merchant not found")</f>
        <v>ecommerce</v>
      </c>
      <c r="K227" s="4" t="str">
        <f>IFERROR(VLOOKUP(C227,Merchants!$A$2:$D$41,4,FALSE),"Merchant not found")</f>
        <v>North</v>
      </c>
      <c r="L227" s="4">
        <f>IFERROR(HLOOKUP(F227,Fee_Lookup!$B$1:$E$2,2,FALSE),"Fee not found")</f>
        <v>0</v>
      </c>
      <c r="M227" s="5">
        <f t="shared" si="1"/>
        <v>46041</v>
      </c>
      <c r="N227" s="4" t="str">
        <f t="shared" si="2"/>
        <v>27|2026-01-19</v>
      </c>
      <c r="O227" s="4">
        <f>IFERROR(VLOOKUP(N227,Merchant_Daily!$A:$B,2,FALSE),0)</f>
        <v>49</v>
      </c>
      <c r="P227" s="4" t="str">
        <f t="shared" si="3"/>
        <v>Standard Merchant Day</v>
      </c>
    </row>
    <row r="228">
      <c r="A228" s="1" t="s">
        <v>798</v>
      </c>
      <c r="B228" s="1">
        <v>167.0</v>
      </c>
      <c r="C228" s="1">
        <v>11.0</v>
      </c>
      <c r="D228" s="3">
        <v>46026.50069444445</v>
      </c>
      <c r="E228" s="1">
        <v>1499.0</v>
      </c>
      <c r="F228" s="1" t="s">
        <v>46</v>
      </c>
      <c r="G228" s="1" t="s">
        <v>30</v>
      </c>
      <c r="H228" s="1">
        <v>79.0</v>
      </c>
      <c r="I228" s="4" t="str">
        <f>IFERROR(VLOOKUP(C228,Merchants!$A$2:$D$41,2,FALSE),"Merchant not found")</f>
        <v>Merchant_011</v>
      </c>
      <c r="J228" s="4" t="str">
        <f>IFERROR(VLOOKUP(C228,Merchants!$A$2:$D$41,3,FALSE),"Merchant not found")</f>
        <v>ecommerce</v>
      </c>
      <c r="K228" s="4" t="str">
        <f>IFERROR(VLOOKUP(C228,Merchants!$A$2:$D$41,4,FALSE),"Merchant not found")</f>
        <v>North</v>
      </c>
      <c r="L228" s="4">
        <f>IFERROR(HLOOKUP(F228,Fee_Lookup!$B$1:$E$2,2,FALSE),"Fee not found")</f>
        <v>0.01</v>
      </c>
      <c r="M228" s="5">
        <f t="shared" si="1"/>
        <v>46026</v>
      </c>
      <c r="N228" s="4" t="str">
        <f t="shared" si="2"/>
        <v>11|2026-01-04</v>
      </c>
      <c r="O228" s="4">
        <f>IFERROR(VLOOKUP(N228,Merchant_Daily!$A:$B,2,FALSE),0)</f>
        <v>1499</v>
      </c>
      <c r="P228" s="4" t="str">
        <f t="shared" si="3"/>
        <v>Standard Merchant Day</v>
      </c>
    </row>
    <row r="229">
      <c r="A229" s="1" t="s">
        <v>799</v>
      </c>
      <c r="B229" s="1">
        <v>186.0</v>
      </c>
      <c r="C229" s="1">
        <v>6.0</v>
      </c>
      <c r="D229" s="3">
        <v>46037.95694444444</v>
      </c>
      <c r="E229" s="1">
        <v>49.0</v>
      </c>
      <c r="F229" s="1" t="s">
        <v>26</v>
      </c>
      <c r="G229" s="1" t="s">
        <v>27</v>
      </c>
      <c r="H229" s="1">
        <v>55.0</v>
      </c>
      <c r="I229" s="4" t="str">
        <f>IFERROR(VLOOKUP(C229,Merchants!$A$2:$D$41,2,FALSE),"Merchant not found")</f>
        <v>Merchant_006</v>
      </c>
      <c r="J229" s="4" t="str">
        <f>IFERROR(VLOOKUP(C229,Merchants!$A$2:$D$41,3,FALSE),"Merchant not found")</f>
        <v>food_delivery</v>
      </c>
      <c r="K229" s="4" t="str">
        <f>IFERROR(VLOOKUP(C229,Merchants!$A$2:$D$41,4,FALSE),"Merchant not found")</f>
        <v>South</v>
      </c>
      <c r="L229" s="4">
        <f>IFERROR(HLOOKUP(F229,Fee_Lookup!$B$1:$E$2,2,FALSE),"Fee not found")</f>
        <v>0.005</v>
      </c>
      <c r="M229" s="5">
        <f t="shared" si="1"/>
        <v>46037</v>
      </c>
      <c r="N229" s="4" t="str">
        <f t="shared" si="2"/>
        <v>6|2026-01-15</v>
      </c>
      <c r="O229" s="4">
        <f>IFERROR(VLOOKUP(N229,Merchant_Daily!$A:$B,2,FALSE),0)</f>
        <v>49</v>
      </c>
      <c r="P229" s="4" t="str">
        <f t="shared" si="3"/>
        <v>Standard Merchant Day</v>
      </c>
    </row>
    <row r="230">
      <c r="A230" s="1" t="s">
        <v>800</v>
      </c>
      <c r="B230" s="1">
        <v>224.0</v>
      </c>
      <c r="C230" s="1">
        <v>38.0</v>
      </c>
      <c r="D230" s="3">
        <v>46050.135416666664</v>
      </c>
      <c r="E230" s="1">
        <v>299.0</v>
      </c>
      <c r="F230" s="1" t="s">
        <v>26</v>
      </c>
      <c r="G230" s="1" t="s">
        <v>30</v>
      </c>
      <c r="H230" s="1">
        <v>51.0</v>
      </c>
      <c r="I230" s="4" t="str">
        <f>IFERROR(VLOOKUP(C230,Merchants!$A$2:$D$41,2,FALSE),"Merchant not found")</f>
        <v>Merchant_038</v>
      </c>
      <c r="J230" s="4" t="str">
        <f>IFERROR(VLOOKUP(C230,Merchants!$A$2:$D$41,3,FALSE),"Merchant not found")</f>
        <v>grocery</v>
      </c>
      <c r="K230" s="4" t="str">
        <f>IFERROR(VLOOKUP(C230,Merchants!$A$2:$D$41,4,FALSE),"Merchant not found")</f>
        <v>East</v>
      </c>
      <c r="L230" s="4">
        <f>IFERROR(HLOOKUP(F230,Fee_Lookup!$B$1:$E$2,2,FALSE),"Fee not found")</f>
        <v>0.005</v>
      </c>
      <c r="M230" s="5">
        <f t="shared" si="1"/>
        <v>46050</v>
      </c>
      <c r="N230" s="4" t="str">
        <f t="shared" si="2"/>
        <v>38|2026-01-28</v>
      </c>
      <c r="O230" s="4">
        <f>IFERROR(VLOOKUP(N230,Merchant_Daily!$A:$B,2,FALSE),0)</f>
        <v>299</v>
      </c>
      <c r="P230" s="4" t="str">
        <f t="shared" si="3"/>
        <v>Standard Merchant Day</v>
      </c>
    </row>
    <row r="231">
      <c r="A231" s="1" t="s">
        <v>801</v>
      </c>
      <c r="B231" s="1">
        <v>159.0</v>
      </c>
      <c r="C231" s="1">
        <v>22.0</v>
      </c>
      <c r="D231" s="3">
        <v>46039.100694444445</v>
      </c>
      <c r="E231" s="1">
        <v>799.0</v>
      </c>
      <c r="F231" s="1" t="s">
        <v>35</v>
      </c>
      <c r="G231" s="1" t="s">
        <v>27</v>
      </c>
      <c r="H231" s="1">
        <v>28.0</v>
      </c>
      <c r="I231" s="4" t="str">
        <f>IFERROR(VLOOKUP(C231,Merchants!$A$2:$D$41,2,FALSE),"Merchant not found")</f>
        <v>Merchant_022</v>
      </c>
      <c r="J231" s="4" t="str">
        <f>IFERROR(VLOOKUP(C231,Merchants!$A$2:$D$41,3,FALSE),"Merchant not found")</f>
        <v>travel</v>
      </c>
      <c r="K231" s="4" t="str">
        <f>IFERROR(VLOOKUP(C231,Merchants!$A$2:$D$41,4,FALSE),"Merchant not found")</f>
        <v>South</v>
      </c>
      <c r="L231" s="4">
        <f>IFERROR(HLOOKUP(F231,Fee_Lookup!$B$1:$E$2,2,FALSE),"Fee not found")</f>
        <v>0</v>
      </c>
      <c r="M231" s="5">
        <f t="shared" si="1"/>
        <v>46039</v>
      </c>
      <c r="N231" s="4" t="str">
        <f t="shared" si="2"/>
        <v>22|2026-01-17</v>
      </c>
      <c r="O231" s="4">
        <f>IFERROR(VLOOKUP(N231,Merchant_Daily!$A:$B,2,FALSE),0)</f>
        <v>1598</v>
      </c>
      <c r="P231" s="4" t="str">
        <f t="shared" si="3"/>
        <v>Standard Merchant Day</v>
      </c>
    </row>
    <row r="232">
      <c r="A232" s="1" t="s">
        <v>802</v>
      </c>
      <c r="B232" s="1">
        <v>262.0</v>
      </c>
      <c r="C232" s="1">
        <v>8.0</v>
      </c>
      <c r="D232" s="3">
        <v>46033.21111111111</v>
      </c>
      <c r="E232" s="1">
        <v>149.0</v>
      </c>
      <c r="F232" s="1" t="s">
        <v>35</v>
      </c>
      <c r="G232" s="1" t="s">
        <v>27</v>
      </c>
      <c r="H232" s="1">
        <v>67.0</v>
      </c>
      <c r="I232" s="4" t="str">
        <f>IFERROR(VLOOKUP(C232,Merchants!$A$2:$D$41,2,FALSE),"Merchant not found")</f>
        <v>Merchant_008</v>
      </c>
      <c r="J232" s="4" t="str">
        <f>IFERROR(VLOOKUP(C232,Merchants!$A$2:$D$41,3,FALSE),"Merchant not found")</f>
        <v>food_delivery</v>
      </c>
      <c r="K232" s="4" t="str">
        <f>IFERROR(VLOOKUP(C232,Merchants!$A$2:$D$41,4,FALSE),"Merchant not found")</f>
        <v>North</v>
      </c>
      <c r="L232" s="4">
        <f>IFERROR(HLOOKUP(F232,Fee_Lookup!$B$1:$E$2,2,FALSE),"Fee not found")</f>
        <v>0</v>
      </c>
      <c r="M232" s="5">
        <f t="shared" si="1"/>
        <v>46033</v>
      </c>
      <c r="N232" s="4" t="str">
        <f t="shared" si="2"/>
        <v>8|2026-01-11</v>
      </c>
      <c r="O232" s="4">
        <f>IFERROR(VLOOKUP(N232,Merchant_Daily!$A:$B,2,FALSE),0)</f>
        <v>149</v>
      </c>
      <c r="P232" s="4" t="str">
        <f t="shared" si="3"/>
        <v>Standard Merchant Day</v>
      </c>
    </row>
    <row r="233">
      <c r="A233" s="1" t="s">
        <v>803</v>
      </c>
      <c r="B233" s="1">
        <v>179.0</v>
      </c>
      <c r="C233" s="1">
        <v>23.0</v>
      </c>
      <c r="D233" s="3">
        <v>46039.28958333333</v>
      </c>
      <c r="E233" s="1">
        <v>49.0</v>
      </c>
      <c r="F233" s="1" t="s">
        <v>26</v>
      </c>
      <c r="G233" s="1" t="s">
        <v>27</v>
      </c>
      <c r="H233" s="1">
        <v>93.0</v>
      </c>
      <c r="I233" s="4" t="str">
        <f>IFERROR(VLOOKUP(C233,Merchants!$A$2:$D$41,2,FALSE),"Merchant not found")</f>
        <v>Merchant_023</v>
      </c>
      <c r="J233" s="4" t="str">
        <f>IFERROR(VLOOKUP(C233,Merchants!$A$2:$D$41,3,FALSE),"Merchant not found")</f>
        <v>travel</v>
      </c>
      <c r="K233" s="4" t="str">
        <f>IFERROR(VLOOKUP(C233,Merchants!$A$2:$D$41,4,FALSE),"Merchant not found")</f>
        <v>North</v>
      </c>
      <c r="L233" s="4">
        <f>IFERROR(HLOOKUP(F233,Fee_Lookup!$B$1:$E$2,2,FALSE),"Fee not found")</f>
        <v>0.005</v>
      </c>
      <c r="M233" s="5">
        <f t="shared" si="1"/>
        <v>46039</v>
      </c>
      <c r="N233" s="4" t="str">
        <f t="shared" si="2"/>
        <v>23|2026-01-17</v>
      </c>
      <c r="O233" s="4">
        <f>IFERROR(VLOOKUP(N233,Merchant_Daily!$A:$B,2,FALSE),0)</f>
        <v>49</v>
      </c>
      <c r="P233" s="4" t="str">
        <f t="shared" si="3"/>
        <v>Standard Merchant Day</v>
      </c>
    </row>
    <row r="234">
      <c r="A234" s="1" t="s">
        <v>804</v>
      </c>
      <c r="B234" s="1">
        <v>76.0</v>
      </c>
      <c r="C234" s="1">
        <v>16.0</v>
      </c>
      <c r="D234" s="3">
        <v>46049.86944444444</v>
      </c>
      <c r="E234" s="1">
        <v>299.0</v>
      </c>
      <c r="F234" s="1" t="s">
        <v>35</v>
      </c>
      <c r="G234" s="1" t="s">
        <v>27</v>
      </c>
      <c r="H234" s="1">
        <v>13.0</v>
      </c>
      <c r="I234" s="4" t="str">
        <f>IFERROR(VLOOKUP(C234,Merchants!$A$2:$D$41,2,FALSE),"Merchant not found")</f>
        <v>Merchant_016</v>
      </c>
      <c r="J234" s="4" t="str">
        <f>IFERROR(VLOOKUP(C234,Merchants!$A$2:$D$41,3,FALSE),"Merchant not found")</f>
        <v>bill_payment</v>
      </c>
      <c r="K234" s="4" t="str">
        <f>IFERROR(VLOOKUP(C234,Merchants!$A$2:$D$41,4,FALSE),"Merchant not found")</f>
        <v>West</v>
      </c>
      <c r="L234" s="4">
        <f>IFERROR(HLOOKUP(F234,Fee_Lookup!$B$1:$E$2,2,FALSE),"Fee not found")</f>
        <v>0</v>
      </c>
      <c r="M234" s="5">
        <f t="shared" si="1"/>
        <v>46049</v>
      </c>
      <c r="N234" s="4" t="str">
        <f t="shared" si="2"/>
        <v>16|2026-01-27</v>
      </c>
      <c r="O234" s="4">
        <f>IFERROR(VLOOKUP(N234,Merchant_Daily!$A:$B,2,FALSE),0)</f>
        <v>348</v>
      </c>
      <c r="P234" s="4" t="str">
        <f t="shared" si="3"/>
        <v>Standard Merchant Day</v>
      </c>
    </row>
    <row r="235">
      <c r="A235" s="1" t="s">
        <v>805</v>
      </c>
      <c r="B235" s="1">
        <v>89.0</v>
      </c>
      <c r="C235" s="1">
        <v>39.0</v>
      </c>
      <c r="D235" s="3">
        <v>46027.34166666667</v>
      </c>
      <c r="E235" s="1">
        <v>299.0</v>
      </c>
      <c r="F235" s="1" t="s">
        <v>35</v>
      </c>
      <c r="G235" s="1" t="s">
        <v>27</v>
      </c>
      <c r="H235" s="1">
        <v>19.0</v>
      </c>
      <c r="I235" s="4" t="str">
        <f>IFERROR(VLOOKUP(C235,Merchants!$A$2:$D$41,2,FALSE),"Merchant not found")</f>
        <v>Merchant_039</v>
      </c>
      <c r="J235" s="4" t="str">
        <f>IFERROR(VLOOKUP(C235,Merchants!$A$2:$D$41,3,FALSE),"Merchant not found")</f>
        <v>entertainment</v>
      </c>
      <c r="K235" s="4" t="str">
        <f>IFERROR(VLOOKUP(C235,Merchants!$A$2:$D$41,4,FALSE),"Merchant not found")</f>
        <v>North</v>
      </c>
      <c r="L235" s="4">
        <f>IFERROR(HLOOKUP(F235,Fee_Lookup!$B$1:$E$2,2,FALSE),"Fee not found")</f>
        <v>0</v>
      </c>
      <c r="M235" s="5">
        <f t="shared" si="1"/>
        <v>46027</v>
      </c>
      <c r="N235" s="4" t="str">
        <f t="shared" si="2"/>
        <v>39|2026-01-05</v>
      </c>
      <c r="O235" s="4">
        <f>IFERROR(VLOOKUP(N235,Merchant_Daily!$A:$B,2,FALSE),0)</f>
        <v>299</v>
      </c>
      <c r="P235" s="4" t="str">
        <f t="shared" si="3"/>
        <v>Standard Merchant Day</v>
      </c>
    </row>
    <row r="236">
      <c r="A236" s="1" t="s">
        <v>806</v>
      </c>
      <c r="B236" s="1">
        <v>91.0</v>
      </c>
      <c r="C236" s="1">
        <v>32.0</v>
      </c>
      <c r="D236" s="3">
        <v>46047.83611111111</v>
      </c>
      <c r="E236" s="1">
        <v>49.0</v>
      </c>
      <c r="F236" s="1" t="s">
        <v>35</v>
      </c>
      <c r="G236" s="1" t="s">
        <v>27</v>
      </c>
      <c r="H236" s="1">
        <v>59.0</v>
      </c>
      <c r="I236" s="4" t="str">
        <f>IFERROR(VLOOKUP(C236,Merchants!$A$2:$D$41,2,FALSE),"Merchant not found")</f>
        <v>Merchant_032</v>
      </c>
      <c r="J236" s="4" t="str">
        <f>IFERROR(VLOOKUP(C236,Merchants!$A$2:$D$41,3,FALSE),"Merchant not found")</f>
        <v>food_delivery</v>
      </c>
      <c r="K236" s="4" t="str">
        <f>IFERROR(VLOOKUP(C236,Merchants!$A$2:$D$41,4,FALSE),"Merchant not found")</f>
        <v>West</v>
      </c>
      <c r="L236" s="4">
        <f>IFERROR(HLOOKUP(F236,Fee_Lookup!$B$1:$E$2,2,FALSE),"Fee not found")</f>
        <v>0</v>
      </c>
      <c r="M236" s="5">
        <f t="shared" si="1"/>
        <v>46047</v>
      </c>
      <c r="N236" s="4" t="str">
        <f t="shared" si="2"/>
        <v>32|2026-01-25</v>
      </c>
      <c r="O236" s="4">
        <f>IFERROR(VLOOKUP(N236,Merchant_Daily!$A:$B,2,FALSE),0)</f>
        <v>49</v>
      </c>
      <c r="P236" s="4" t="str">
        <f t="shared" si="3"/>
        <v>Standard Merchant Day</v>
      </c>
    </row>
    <row r="237">
      <c r="A237" s="1" t="s">
        <v>807</v>
      </c>
      <c r="B237" s="1">
        <v>297.0</v>
      </c>
      <c r="C237" s="1">
        <v>29.0</v>
      </c>
      <c r="D237" s="3">
        <v>46047.78333333333</v>
      </c>
      <c r="E237" s="1">
        <v>99.0</v>
      </c>
      <c r="F237" s="1" t="s">
        <v>46</v>
      </c>
      <c r="G237" s="1" t="s">
        <v>34</v>
      </c>
      <c r="H237" s="1">
        <v>87.0</v>
      </c>
      <c r="I237" s="4" t="str">
        <f>IFERROR(VLOOKUP(C237,Merchants!$A$2:$D$41,2,FALSE),"Merchant not found")</f>
        <v>Merchant_029</v>
      </c>
      <c r="J237" s="4" t="str">
        <f>IFERROR(VLOOKUP(C237,Merchants!$A$2:$D$41,3,FALSE),"Merchant not found")</f>
        <v>ecommerce</v>
      </c>
      <c r="K237" s="4" t="str">
        <f>IFERROR(VLOOKUP(C237,Merchants!$A$2:$D$41,4,FALSE),"Merchant not found")</f>
        <v>North</v>
      </c>
      <c r="L237" s="4">
        <f>IFERROR(HLOOKUP(F237,Fee_Lookup!$B$1:$E$2,2,FALSE),"Fee not found")</f>
        <v>0.01</v>
      </c>
      <c r="M237" s="5">
        <f t="shared" si="1"/>
        <v>46047</v>
      </c>
      <c r="N237" s="4" t="str">
        <f t="shared" si="2"/>
        <v>29|2026-01-25</v>
      </c>
      <c r="O237" s="4">
        <f>IFERROR(VLOOKUP(N237,Merchant_Daily!$A:$B,2,FALSE),0)</f>
        <v>3896</v>
      </c>
      <c r="P237" s="4" t="str">
        <f t="shared" si="3"/>
        <v>Standard Merchant Day</v>
      </c>
    </row>
    <row r="238">
      <c r="A238" s="1" t="s">
        <v>808</v>
      </c>
      <c r="B238" s="1">
        <v>326.0</v>
      </c>
      <c r="C238" s="1">
        <v>40.0</v>
      </c>
      <c r="D238" s="3">
        <v>46052.77847222222</v>
      </c>
      <c r="E238" s="1">
        <v>499.0</v>
      </c>
      <c r="F238" s="1" t="s">
        <v>46</v>
      </c>
      <c r="G238" s="1" t="s">
        <v>27</v>
      </c>
      <c r="H238" s="1">
        <v>41.0</v>
      </c>
      <c r="I238" s="4" t="str">
        <f>IFERROR(VLOOKUP(C238,Merchants!$A$2:$D$41,2,FALSE),"Merchant not found")</f>
        <v>Merchant_040</v>
      </c>
      <c r="J238" s="4" t="str">
        <f>IFERROR(VLOOKUP(C238,Merchants!$A$2:$D$41,3,FALSE),"Merchant not found")</f>
        <v>entertainment</v>
      </c>
      <c r="K238" s="4" t="str">
        <f>IFERROR(VLOOKUP(C238,Merchants!$A$2:$D$41,4,FALSE),"Merchant not found")</f>
        <v>South</v>
      </c>
      <c r="L238" s="4">
        <f>IFERROR(HLOOKUP(F238,Fee_Lookup!$B$1:$E$2,2,FALSE),"Fee not found")</f>
        <v>0.01</v>
      </c>
      <c r="M238" s="5">
        <f t="shared" si="1"/>
        <v>46052</v>
      </c>
      <c r="N238" s="4" t="str">
        <f t="shared" si="2"/>
        <v>40|2026-01-30</v>
      </c>
      <c r="O238" s="4">
        <f>IFERROR(VLOOKUP(N238,Merchant_Daily!$A:$B,2,FALSE),0)</f>
        <v>499</v>
      </c>
      <c r="P238" s="4" t="str">
        <f t="shared" si="3"/>
        <v>Standard Merchant Day</v>
      </c>
    </row>
    <row r="239">
      <c r="A239" s="1" t="s">
        <v>809</v>
      </c>
      <c r="B239" s="1">
        <v>78.0</v>
      </c>
      <c r="C239" s="1">
        <v>29.0</v>
      </c>
      <c r="D239" s="3">
        <v>46050.84722222222</v>
      </c>
      <c r="E239" s="1">
        <v>149.0</v>
      </c>
      <c r="F239" s="1" t="s">
        <v>35</v>
      </c>
      <c r="G239" s="1" t="s">
        <v>27</v>
      </c>
      <c r="H239" s="1">
        <v>8.0</v>
      </c>
      <c r="I239" s="4" t="str">
        <f>IFERROR(VLOOKUP(C239,Merchants!$A$2:$D$41,2,FALSE),"Merchant not found")</f>
        <v>Merchant_029</v>
      </c>
      <c r="J239" s="4" t="str">
        <f>IFERROR(VLOOKUP(C239,Merchants!$A$2:$D$41,3,FALSE),"Merchant not found")</f>
        <v>ecommerce</v>
      </c>
      <c r="K239" s="4" t="str">
        <f>IFERROR(VLOOKUP(C239,Merchants!$A$2:$D$41,4,FALSE),"Merchant not found")</f>
        <v>North</v>
      </c>
      <c r="L239" s="4">
        <f>IFERROR(HLOOKUP(F239,Fee_Lookup!$B$1:$E$2,2,FALSE),"Fee not found")</f>
        <v>0</v>
      </c>
      <c r="M239" s="5">
        <f t="shared" si="1"/>
        <v>46050</v>
      </c>
      <c r="N239" s="4" t="str">
        <f t="shared" si="2"/>
        <v>29|2026-01-28</v>
      </c>
      <c r="O239" s="4">
        <f>IFERROR(VLOOKUP(N239,Merchant_Daily!$A:$B,2,FALSE),0)</f>
        <v>149</v>
      </c>
      <c r="P239" s="4" t="str">
        <f t="shared" si="3"/>
        <v>Standard Merchant Day</v>
      </c>
    </row>
    <row r="240">
      <c r="A240" s="1" t="s">
        <v>810</v>
      </c>
      <c r="B240" s="1">
        <v>156.0</v>
      </c>
      <c r="C240" s="1">
        <v>18.0</v>
      </c>
      <c r="D240" s="3">
        <v>46038.61111111111</v>
      </c>
      <c r="E240" s="1">
        <v>2999.0</v>
      </c>
      <c r="F240" s="1" t="s">
        <v>46</v>
      </c>
      <c r="G240" s="1" t="s">
        <v>27</v>
      </c>
      <c r="H240" s="1">
        <v>75.0</v>
      </c>
      <c r="I240" s="4" t="str">
        <f>IFERROR(VLOOKUP(C240,Merchants!$A$2:$D$41,2,FALSE),"Merchant not found")</f>
        <v>Merchant_018</v>
      </c>
      <c r="J240" s="4" t="str">
        <f>IFERROR(VLOOKUP(C240,Merchants!$A$2:$D$41,3,FALSE),"Merchant not found")</f>
        <v>grocery</v>
      </c>
      <c r="K240" s="4" t="str">
        <f>IFERROR(VLOOKUP(C240,Merchants!$A$2:$D$41,4,FALSE),"Merchant not found")</f>
        <v>West</v>
      </c>
      <c r="L240" s="4">
        <f>IFERROR(HLOOKUP(F240,Fee_Lookup!$B$1:$E$2,2,FALSE),"Fee not found")</f>
        <v>0.01</v>
      </c>
      <c r="M240" s="5">
        <f t="shared" si="1"/>
        <v>46038</v>
      </c>
      <c r="N240" s="4" t="str">
        <f t="shared" si="2"/>
        <v>18|2026-01-16</v>
      </c>
      <c r="O240" s="4">
        <f>IFERROR(VLOOKUP(N240,Merchant_Daily!$A:$B,2,FALSE),0)</f>
        <v>3148</v>
      </c>
      <c r="P240" s="4" t="str">
        <f t="shared" si="3"/>
        <v>Standard Merchant Day</v>
      </c>
    </row>
    <row r="241">
      <c r="A241" s="1" t="s">
        <v>811</v>
      </c>
      <c r="B241" s="1">
        <v>38.0</v>
      </c>
      <c r="C241" s="1">
        <v>20.0</v>
      </c>
      <c r="D241" s="3">
        <v>46024.48055555556</v>
      </c>
      <c r="E241" s="1">
        <v>49.0</v>
      </c>
      <c r="F241" s="1" t="s">
        <v>26</v>
      </c>
      <c r="G241" s="1" t="s">
        <v>30</v>
      </c>
      <c r="H241" s="1">
        <v>59.0</v>
      </c>
      <c r="I241" s="4" t="str">
        <f>IFERROR(VLOOKUP(C241,Merchants!$A$2:$D$41,2,FALSE),"Merchant not found")</f>
        <v>Merchant_020</v>
      </c>
      <c r="J241" s="4" t="str">
        <f>IFERROR(VLOOKUP(C241,Merchants!$A$2:$D$41,3,FALSE),"Merchant not found")</f>
        <v>food_delivery</v>
      </c>
      <c r="K241" s="4" t="str">
        <f>IFERROR(VLOOKUP(C241,Merchants!$A$2:$D$41,4,FALSE),"Merchant not found")</f>
        <v>East</v>
      </c>
      <c r="L241" s="4">
        <f>IFERROR(HLOOKUP(F241,Fee_Lookup!$B$1:$E$2,2,FALSE),"Fee not found")</f>
        <v>0.005</v>
      </c>
      <c r="M241" s="5">
        <f t="shared" si="1"/>
        <v>46024</v>
      </c>
      <c r="N241" s="4" t="str">
        <f t="shared" si="2"/>
        <v>20|2026-01-02</v>
      </c>
      <c r="O241" s="4">
        <f>IFERROR(VLOOKUP(N241,Merchant_Daily!$A:$B,2,FALSE),0)</f>
        <v>49</v>
      </c>
      <c r="P241" s="4" t="str">
        <f t="shared" si="3"/>
        <v>Standard Merchant Day</v>
      </c>
    </row>
    <row r="242">
      <c r="A242" s="1" t="s">
        <v>812</v>
      </c>
      <c r="B242" s="1">
        <v>189.0</v>
      </c>
      <c r="C242" s="1">
        <v>19.0</v>
      </c>
      <c r="D242" s="3">
        <v>46037.04375</v>
      </c>
      <c r="E242" s="1">
        <v>99.0</v>
      </c>
      <c r="F242" s="1" t="s">
        <v>35</v>
      </c>
      <c r="G242" s="1" t="s">
        <v>30</v>
      </c>
      <c r="H242" s="1">
        <v>9.0</v>
      </c>
      <c r="I242" s="4" t="str">
        <f>IFERROR(VLOOKUP(C242,Merchants!$A$2:$D$41,2,FALSE),"Merchant not found")</f>
        <v>Merchant_019</v>
      </c>
      <c r="J242" s="4" t="str">
        <f>IFERROR(VLOOKUP(C242,Merchants!$A$2:$D$41,3,FALSE),"Merchant not found")</f>
        <v>grocery</v>
      </c>
      <c r="K242" s="4" t="str">
        <f>IFERROR(VLOOKUP(C242,Merchants!$A$2:$D$41,4,FALSE),"Merchant not found")</f>
        <v>North</v>
      </c>
      <c r="L242" s="4">
        <f>IFERROR(HLOOKUP(F242,Fee_Lookup!$B$1:$E$2,2,FALSE),"Fee not found")</f>
        <v>0</v>
      </c>
      <c r="M242" s="5">
        <f t="shared" si="1"/>
        <v>46037</v>
      </c>
      <c r="N242" s="4" t="str">
        <f t="shared" si="2"/>
        <v>19|2026-01-15</v>
      </c>
      <c r="O242" s="4">
        <f>IFERROR(VLOOKUP(N242,Merchant_Daily!$A:$B,2,FALSE),0)</f>
        <v>398</v>
      </c>
      <c r="P242" s="4" t="str">
        <f t="shared" si="3"/>
        <v>Standard Merchant Day</v>
      </c>
    </row>
    <row r="243">
      <c r="A243" s="1" t="s">
        <v>813</v>
      </c>
      <c r="B243" s="1">
        <v>305.0</v>
      </c>
      <c r="C243" s="1">
        <v>33.0</v>
      </c>
      <c r="D243" s="3">
        <v>46043.11041666667</v>
      </c>
      <c r="E243" s="1">
        <v>299.0</v>
      </c>
      <c r="F243" s="1" t="s">
        <v>46</v>
      </c>
      <c r="G243" s="1" t="s">
        <v>27</v>
      </c>
      <c r="H243" s="1">
        <v>49.0</v>
      </c>
      <c r="I243" s="4" t="str">
        <f>IFERROR(VLOOKUP(C243,Merchants!$A$2:$D$41,2,FALSE),"Merchant not found")</f>
        <v>Merchant_033</v>
      </c>
      <c r="J243" s="4" t="str">
        <f>IFERROR(VLOOKUP(C243,Merchants!$A$2:$D$41,3,FALSE),"Merchant not found")</f>
        <v>bill_payment</v>
      </c>
      <c r="K243" s="4" t="str">
        <f>IFERROR(VLOOKUP(C243,Merchants!$A$2:$D$41,4,FALSE),"Merchant not found")</f>
        <v>East</v>
      </c>
      <c r="L243" s="4">
        <f>IFERROR(HLOOKUP(F243,Fee_Lookup!$B$1:$E$2,2,FALSE),"Fee not found")</f>
        <v>0.01</v>
      </c>
      <c r="M243" s="5">
        <f t="shared" si="1"/>
        <v>46043</v>
      </c>
      <c r="N243" s="4" t="str">
        <f t="shared" si="2"/>
        <v>33|2026-01-21</v>
      </c>
      <c r="O243" s="4">
        <f>IFERROR(VLOOKUP(N243,Merchant_Daily!$A:$B,2,FALSE),0)</f>
        <v>3298</v>
      </c>
      <c r="P243" s="4" t="str">
        <f t="shared" si="3"/>
        <v>Standard Merchant Day</v>
      </c>
    </row>
    <row r="244">
      <c r="A244" s="1" t="s">
        <v>814</v>
      </c>
      <c r="B244" s="1">
        <v>22.0</v>
      </c>
      <c r="C244" s="1">
        <v>29.0</v>
      </c>
      <c r="D244" s="3">
        <v>46037.774305555555</v>
      </c>
      <c r="E244" s="1">
        <v>799.0</v>
      </c>
      <c r="F244" s="1" t="s">
        <v>35</v>
      </c>
      <c r="G244" s="1" t="s">
        <v>27</v>
      </c>
      <c r="H244" s="1">
        <v>73.0</v>
      </c>
      <c r="I244" s="4" t="str">
        <f>IFERROR(VLOOKUP(C244,Merchants!$A$2:$D$41,2,FALSE),"Merchant not found")</f>
        <v>Merchant_029</v>
      </c>
      <c r="J244" s="4" t="str">
        <f>IFERROR(VLOOKUP(C244,Merchants!$A$2:$D$41,3,FALSE),"Merchant not found")</f>
        <v>ecommerce</v>
      </c>
      <c r="K244" s="4" t="str">
        <f>IFERROR(VLOOKUP(C244,Merchants!$A$2:$D$41,4,FALSE),"Merchant not found")</f>
        <v>North</v>
      </c>
      <c r="L244" s="4">
        <f>IFERROR(HLOOKUP(F244,Fee_Lookup!$B$1:$E$2,2,FALSE),"Fee not found")</f>
        <v>0</v>
      </c>
      <c r="M244" s="5">
        <f t="shared" si="1"/>
        <v>46037</v>
      </c>
      <c r="N244" s="4" t="str">
        <f t="shared" si="2"/>
        <v>29|2026-01-15</v>
      </c>
      <c r="O244" s="4">
        <f>IFERROR(VLOOKUP(N244,Merchant_Daily!$A:$B,2,FALSE),0)</f>
        <v>1098</v>
      </c>
      <c r="P244" s="4" t="str">
        <f t="shared" si="3"/>
        <v>Standard Merchant Day</v>
      </c>
    </row>
    <row r="245">
      <c r="A245" s="1" t="s">
        <v>815</v>
      </c>
      <c r="B245" s="1">
        <v>310.0</v>
      </c>
      <c r="C245" s="1">
        <v>31.0</v>
      </c>
      <c r="D245" s="3">
        <v>46043.26388888889</v>
      </c>
      <c r="E245" s="1">
        <v>49.0</v>
      </c>
      <c r="F245" s="1" t="s">
        <v>46</v>
      </c>
      <c r="G245" s="1" t="s">
        <v>27</v>
      </c>
      <c r="H245" s="1">
        <v>64.0</v>
      </c>
      <c r="I245" s="4" t="str">
        <f>IFERROR(VLOOKUP(C245,Merchants!$A$2:$D$41,2,FALSE),"Merchant not found")</f>
        <v>Merchant_031</v>
      </c>
      <c r="J245" s="4" t="str">
        <f>IFERROR(VLOOKUP(C245,Merchants!$A$2:$D$41,3,FALSE),"Merchant not found")</f>
        <v>bill_payment</v>
      </c>
      <c r="K245" s="4" t="str">
        <f>IFERROR(VLOOKUP(C245,Merchants!$A$2:$D$41,4,FALSE),"Merchant not found")</f>
        <v>East</v>
      </c>
      <c r="L245" s="4">
        <f>IFERROR(HLOOKUP(F245,Fee_Lookup!$B$1:$E$2,2,FALSE),"Fee not found")</f>
        <v>0.01</v>
      </c>
      <c r="M245" s="5">
        <f t="shared" si="1"/>
        <v>46043</v>
      </c>
      <c r="N245" s="4" t="str">
        <f t="shared" si="2"/>
        <v>31|2026-01-21</v>
      </c>
      <c r="O245" s="4">
        <f>IFERROR(VLOOKUP(N245,Merchant_Daily!$A:$B,2,FALSE),0)</f>
        <v>49</v>
      </c>
      <c r="P245" s="4" t="str">
        <f t="shared" si="3"/>
        <v>Standard Merchant Day</v>
      </c>
    </row>
    <row r="246">
      <c r="A246" s="1" t="s">
        <v>816</v>
      </c>
      <c r="B246" s="1">
        <v>53.0</v>
      </c>
      <c r="C246" s="1">
        <v>22.0</v>
      </c>
      <c r="D246" s="3">
        <v>46027.061111111114</v>
      </c>
      <c r="E246" s="1">
        <v>299.0</v>
      </c>
      <c r="F246" s="1" t="s">
        <v>35</v>
      </c>
      <c r="G246" s="1" t="s">
        <v>27</v>
      </c>
      <c r="H246" s="1">
        <v>91.0</v>
      </c>
      <c r="I246" s="4" t="str">
        <f>IFERROR(VLOOKUP(C246,Merchants!$A$2:$D$41,2,FALSE),"Merchant not found")</f>
        <v>Merchant_022</v>
      </c>
      <c r="J246" s="4" t="str">
        <f>IFERROR(VLOOKUP(C246,Merchants!$A$2:$D$41,3,FALSE),"Merchant not found")</f>
        <v>travel</v>
      </c>
      <c r="K246" s="4" t="str">
        <f>IFERROR(VLOOKUP(C246,Merchants!$A$2:$D$41,4,FALSE),"Merchant not found")</f>
        <v>South</v>
      </c>
      <c r="L246" s="4">
        <f>IFERROR(HLOOKUP(F246,Fee_Lookup!$B$1:$E$2,2,FALSE),"Fee not found")</f>
        <v>0</v>
      </c>
      <c r="M246" s="5">
        <f t="shared" si="1"/>
        <v>46027</v>
      </c>
      <c r="N246" s="4" t="str">
        <f t="shared" si="2"/>
        <v>22|2026-01-05</v>
      </c>
      <c r="O246" s="4">
        <f>IFERROR(VLOOKUP(N246,Merchant_Daily!$A:$B,2,FALSE),0)</f>
        <v>448</v>
      </c>
      <c r="P246" s="4" t="str">
        <f t="shared" si="3"/>
        <v>Standard Merchant Day</v>
      </c>
    </row>
    <row r="247">
      <c r="A247" s="1" t="s">
        <v>817</v>
      </c>
      <c r="B247" s="1">
        <v>89.0</v>
      </c>
      <c r="C247" s="1">
        <v>3.0</v>
      </c>
      <c r="D247" s="3">
        <v>46025.69513888889</v>
      </c>
      <c r="E247" s="1">
        <v>149.0</v>
      </c>
      <c r="F247" s="1" t="s">
        <v>46</v>
      </c>
      <c r="G247" s="1" t="s">
        <v>27</v>
      </c>
      <c r="H247" s="1">
        <v>31.0</v>
      </c>
      <c r="I247" s="4" t="str">
        <f>IFERROR(VLOOKUP(C247,Merchants!$A$2:$D$41,2,FALSE),"Merchant not found")</f>
        <v>Merchant_003</v>
      </c>
      <c r="J247" s="4" t="str">
        <f>IFERROR(VLOOKUP(C247,Merchants!$A$2:$D$41,3,FALSE),"Merchant not found")</f>
        <v>grocery</v>
      </c>
      <c r="K247" s="4" t="str">
        <f>IFERROR(VLOOKUP(C247,Merchants!$A$2:$D$41,4,FALSE),"Merchant not found")</f>
        <v>East</v>
      </c>
      <c r="L247" s="4">
        <f>IFERROR(HLOOKUP(F247,Fee_Lookup!$B$1:$E$2,2,FALSE),"Fee not found")</f>
        <v>0.01</v>
      </c>
      <c r="M247" s="5">
        <f t="shared" si="1"/>
        <v>46025</v>
      </c>
      <c r="N247" s="4" t="str">
        <f t="shared" si="2"/>
        <v>3|2026-01-03</v>
      </c>
      <c r="O247" s="4">
        <f>IFERROR(VLOOKUP(N247,Merchant_Daily!$A:$B,2,FALSE),0)</f>
        <v>198</v>
      </c>
      <c r="P247" s="4" t="str">
        <f t="shared" si="3"/>
        <v>Standard Merchant Day</v>
      </c>
    </row>
    <row r="248">
      <c r="A248" s="1" t="s">
        <v>818</v>
      </c>
      <c r="B248" s="1">
        <v>269.0</v>
      </c>
      <c r="C248" s="1">
        <v>34.0</v>
      </c>
      <c r="D248" s="3">
        <v>46045.60277777778</v>
      </c>
      <c r="E248" s="1">
        <v>149.0</v>
      </c>
      <c r="F248" s="1" t="s">
        <v>35</v>
      </c>
      <c r="G248" s="1" t="s">
        <v>27</v>
      </c>
      <c r="H248" s="1">
        <v>78.0</v>
      </c>
      <c r="I248" s="4" t="str">
        <f>IFERROR(VLOOKUP(C248,Merchants!$A$2:$D$41,2,FALSE),"Merchant not found")</f>
        <v>Merchant_034</v>
      </c>
      <c r="J248" s="4" t="str">
        <f>IFERROR(VLOOKUP(C248,Merchants!$A$2:$D$41,3,FALSE),"Merchant not found")</f>
        <v>travel</v>
      </c>
      <c r="K248" s="4" t="str">
        <f>IFERROR(VLOOKUP(C248,Merchants!$A$2:$D$41,4,FALSE),"Merchant not found")</f>
        <v>South</v>
      </c>
      <c r="L248" s="4">
        <f>IFERROR(HLOOKUP(F248,Fee_Lookup!$B$1:$E$2,2,FALSE),"Fee not found")</f>
        <v>0</v>
      </c>
      <c r="M248" s="5">
        <f t="shared" si="1"/>
        <v>46045</v>
      </c>
      <c r="N248" s="4" t="str">
        <f t="shared" si="2"/>
        <v>34|2026-01-23</v>
      </c>
      <c r="O248" s="4">
        <f>IFERROR(VLOOKUP(N248,Merchant_Daily!$A:$B,2,FALSE),0)</f>
        <v>3148</v>
      </c>
      <c r="P248" s="4" t="str">
        <f t="shared" si="3"/>
        <v>Standard Merchant Day</v>
      </c>
    </row>
    <row r="249">
      <c r="A249" s="1" t="s">
        <v>819</v>
      </c>
      <c r="B249" s="1">
        <v>145.0</v>
      </c>
      <c r="C249" s="1">
        <v>25.0</v>
      </c>
      <c r="D249" s="3">
        <v>46028.47430555556</v>
      </c>
      <c r="E249" s="1">
        <v>799.0</v>
      </c>
      <c r="F249" s="1" t="s">
        <v>35</v>
      </c>
      <c r="G249" s="1" t="s">
        <v>27</v>
      </c>
      <c r="H249" s="1">
        <v>52.0</v>
      </c>
      <c r="I249" s="4" t="str">
        <f>IFERROR(VLOOKUP(C249,Merchants!$A$2:$D$41,2,FALSE),"Merchant not found")</f>
        <v>Merchant_025</v>
      </c>
      <c r="J249" s="4" t="str">
        <f>IFERROR(VLOOKUP(C249,Merchants!$A$2:$D$41,3,FALSE),"Merchant not found")</f>
        <v>travel</v>
      </c>
      <c r="K249" s="4" t="str">
        <f>IFERROR(VLOOKUP(C249,Merchants!$A$2:$D$41,4,FALSE),"Merchant not found")</f>
        <v>South</v>
      </c>
      <c r="L249" s="4">
        <f>IFERROR(HLOOKUP(F249,Fee_Lookup!$B$1:$E$2,2,FALSE),"Fee not found")</f>
        <v>0</v>
      </c>
      <c r="M249" s="5">
        <f t="shared" si="1"/>
        <v>46028</v>
      </c>
      <c r="N249" s="4" t="str">
        <f t="shared" si="2"/>
        <v>25|2026-01-06</v>
      </c>
      <c r="O249" s="4">
        <f>IFERROR(VLOOKUP(N249,Merchant_Daily!$A:$B,2,FALSE),0)</f>
        <v>898</v>
      </c>
      <c r="P249" s="4" t="str">
        <f t="shared" si="3"/>
        <v>Standard Merchant Day</v>
      </c>
    </row>
    <row r="250">
      <c r="A250" s="1" t="s">
        <v>820</v>
      </c>
      <c r="B250" s="1">
        <v>307.0</v>
      </c>
      <c r="C250" s="1">
        <v>4.0</v>
      </c>
      <c r="D250" s="3">
        <v>46047.44652777778</v>
      </c>
      <c r="E250" s="1">
        <v>1499.0</v>
      </c>
      <c r="F250" s="1" t="s">
        <v>35</v>
      </c>
      <c r="G250" s="1" t="s">
        <v>27</v>
      </c>
      <c r="H250" s="1">
        <v>80.0</v>
      </c>
      <c r="I250" s="4" t="str">
        <f>IFERROR(VLOOKUP(C250,Merchants!$A$2:$D$41,2,FALSE),"Merchant not found")</f>
        <v>Merchant_004</v>
      </c>
      <c r="J250" s="4" t="str">
        <f>IFERROR(VLOOKUP(C250,Merchants!$A$2:$D$41,3,FALSE),"Merchant not found")</f>
        <v>ecommerce</v>
      </c>
      <c r="K250" s="4" t="str">
        <f>IFERROR(VLOOKUP(C250,Merchants!$A$2:$D$41,4,FALSE),"Merchant not found")</f>
        <v>East</v>
      </c>
      <c r="L250" s="4">
        <f>IFERROR(HLOOKUP(F250,Fee_Lookup!$B$1:$E$2,2,FALSE),"Fee not found")</f>
        <v>0</v>
      </c>
      <c r="M250" s="5">
        <f t="shared" si="1"/>
        <v>46047</v>
      </c>
      <c r="N250" s="4" t="str">
        <f t="shared" si="2"/>
        <v>4|2026-01-25</v>
      </c>
      <c r="O250" s="4">
        <f>IFERROR(VLOOKUP(N250,Merchant_Daily!$A:$B,2,FALSE),0)</f>
        <v>1998</v>
      </c>
      <c r="P250" s="4" t="str">
        <f t="shared" si="3"/>
        <v>Standard Merchant Day</v>
      </c>
    </row>
    <row r="251">
      <c r="A251" s="1" t="s">
        <v>821</v>
      </c>
      <c r="B251" s="1">
        <v>169.0</v>
      </c>
      <c r="C251" s="1">
        <v>7.0</v>
      </c>
      <c r="D251" s="3">
        <v>46043.419444444444</v>
      </c>
      <c r="E251" s="1">
        <v>1499.0</v>
      </c>
      <c r="F251" s="1" t="s">
        <v>26</v>
      </c>
      <c r="G251" s="1" t="s">
        <v>27</v>
      </c>
      <c r="H251" s="1">
        <v>71.0</v>
      </c>
      <c r="I251" s="4" t="str">
        <f>IFERROR(VLOOKUP(C251,Merchants!$A$2:$D$41,2,FALSE),"Merchant not found")</f>
        <v>Merchant_007</v>
      </c>
      <c r="J251" s="4" t="str">
        <f>IFERROR(VLOOKUP(C251,Merchants!$A$2:$D$41,3,FALSE),"Merchant not found")</f>
        <v>food_delivery</v>
      </c>
      <c r="K251" s="4" t="str">
        <f>IFERROR(VLOOKUP(C251,Merchants!$A$2:$D$41,4,FALSE),"Merchant not found")</f>
        <v>East</v>
      </c>
      <c r="L251" s="4">
        <f>IFERROR(HLOOKUP(F251,Fee_Lookup!$B$1:$E$2,2,FALSE),"Fee not found")</f>
        <v>0.005</v>
      </c>
      <c r="M251" s="5">
        <f t="shared" si="1"/>
        <v>46043</v>
      </c>
      <c r="N251" s="4" t="str">
        <f t="shared" si="2"/>
        <v>7|2026-01-21</v>
      </c>
      <c r="O251" s="4">
        <f>IFERROR(VLOOKUP(N251,Merchant_Daily!$A:$B,2,FALSE),0)</f>
        <v>1499</v>
      </c>
      <c r="P251" s="4" t="str">
        <f t="shared" si="3"/>
        <v>Standard Merchant Day</v>
      </c>
    </row>
    <row r="252">
      <c r="A252" s="1" t="s">
        <v>822</v>
      </c>
      <c r="B252" s="1">
        <v>130.0</v>
      </c>
      <c r="C252" s="1">
        <v>39.0</v>
      </c>
      <c r="D252" s="3">
        <v>46044.5125</v>
      </c>
      <c r="E252" s="1">
        <v>2999.0</v>
      </c>
      <c r="F252" s="1" t="s">
        <v>26</v>
      </c>
      <c r="G252" s="1" t="s">
        <v>27</v>
      </c>
      <c r="H252" s="1">
        <v>19.0</v>
      </c>
      <c r="I252" s="4" t="str">
        <f>IFERROR(VLOOKUP(C252,Merchants!$A$2:$D$41,2,FALSE),"Merchant not found")</f>
        <v>Merchant_039</v>
      </c>
      <c r="J252" s="4" t="str">
        <f>IFERROR(VLOOKUP(C252,Merchants!$A$2:$D$41,3,FALSE),"Merchant not found")</f>
        <v>entertainment</v>
      </c>
      <c r="K252" s="4" t="str">
        <f>IFERROR(VLOOKUP(C252,Merchants!$A$2:$D$41,4,FALSE),"Merchant not found")</f>
        <v>North</v>
      </c>
      <c r="L252" s="4">
        <f>IFERROR(HLOOKUP(F252,Fee_Lookup!$B$1:$E$2,2,FALSE),"Fee not found")</f>
        <v>0.005</v>
      </c>
      <c r="M252" s="5">
        <f t="shared" si="1"/>
        <v>46044</v>
      </c>
      <c r="N252" s="4" t="str">
        <f t="shared" si="2"/>
        <v>39|2026-01-22</v>
      </c>
      <c r="O252" s="4">
        <f>IFERROR(VLOOKUP(N252,Merchant_Daily!$A:$B,2,FALSE),0)</f>
        <v>9796</v>
      </c>
      <c r="P252" s="4" t="str">
        <f t="shared" si="3"/>
        <v>High-Value Merchant Day</v>
      </c>
    </row>
    <row r="253">
      <c r="A253" s="1" t="s">
        <v>823</v>
      </c>
      <c r="B253" s="1">
        <v>340.0</v>
      </c>
      <c r="C253" s="1">
        <v>10.0</v>
      </c>
      <c r="D253" s="3">
        <v>46033.10902777778</v>
      </c>
      <c r="E253" s="1">
        <v>49.0</v>
      </c>
      <c r="F253" s="1" t="s">
        <v>46</v>
      </c>
      <c r="G253" s="1" t="s">
        <v>27</v>
      </c>
      <c r="H253" s="1">
        <v>44.0</v>
      </c>
      <c r="I253" s="4" t="str">
        <f>IFERROR(VLOOKUP(C253,Merchants!$A$2:$D$41,2,FALSE),"Merchant not found")</f>
        <v>Merchant_010</v>
      </c>
      <c r="J253" s="4" t="str">
        <f>IFERROR(VLOOKUP(C253,Merchants!$A$2:$D$41,3,FALSE),"Merchant not found")</f>
        <v>grocery</v>
      </c>
      <c r="K253" s="4" t="str">
        <f>IFERROR(VLOOKUP(C253,Merchants!$A$2:$D$41,4,FALSE),"Merchant not found")</f>
        <v>West</v>
      </c>
      <c r="L253" s="4">
        <f>IFERROR(HLOOKUP(F253,Fee_Lookup!$B$1:$E$2,2,FALSE),"Fee not found")</f>
        <v>0.01</v>
      </c>
      <c r="M253" s="5">
        <f t="shared" si="1"/>
        <v>46033</v>
      </c>
      <c r="N253" s="4" t="str">
        <f t="shared" si="2"/>
        <v>10|2026-01-11</v>
      </c>
      <c r="O253" s="4">
        <f>IFERROR(VLOOKUP(N253,Merchant_Daily!$A:$B,2,FALSE),0)</f>
        <v>98</v>
      </c>
      <c r="P253" s="4" t="str">
        <f t="shared" si="3"/>
        <v>Standard Merchant Day</v>
      </c>
    </row>
    <row r="254">
      <c r="A254" s="1" t="s">
        <v>824</v>
      </c>
      <c r="B254" s="1">
        <v>340.0</v>
      </c>
      <c r="C254" s="1">
        <v>26.0</v>
      </c>
      <c r="D254" s="3">
        <v>46032.86388888889</v>
      </c>
      <c r="E254" s="1">
        <v>299.0</v>
      </c>
      <c r="F254" s="1" t="s">
        <v>46</v>
      </c>
      <c r="G254" s="1" t="s">
        <v>27</v>
      </c>
      <c r="H254" s="1">
        <v>16.0</v>
      </c>
      <c r="I254" s="4" t="str">
        <f>IFERROR(VLOOKUP(C254,Merchants!$A$2:$D$41,2,FALSE),"Merchant not found")</f>
        <v>Merchant_026</v>
      </c>
      <c r="J254" s="4" t="str">
        <f>IFERROR(VLOOKUP(C254,Merchants!$A$2:$D$41,3,FALSE),"Merchant not found")</f>
        <v>food_delivery</v>
      </c>
      <c r="K254" s="4" t="str">
        <f>IFERROR(VLOOKUP(C254,Merchants!$A$2:$D$41,4,FALSE),"Merchant not found")</f>
        <v>East</v>
      </c>
      <c r="L254" s="4">
        <f>IFERROR(HLOOKUP(F254,Fee_Lookup!$B$1:$E$2,2,FALSE),"Fee not found")</f>
        <v>0.01</v>
      </c>
      <c r="M254" s="5">
        <f t="shared" si="1"/>
        <v>46032</v>
      </c>
      <c r="N254" s="4" t="str">
        <f t="shared" si="2"/>
        <v>26|2026-01-10</v>
      </c>
      <c r="O254" s="4">
        <f>IFERROR(VLOOKUP(N254,Merchant_Daily!$A:$B,2,FALSE),0)</f>
        <v>299</v>
      </c>
      <c r="P254" s="4" t="str">
        <f t="shared" si="3"/>
        <v>Standard Merchant Day</v>
      </c>
    </row>
    <row r="255">
      <c r="A255" s="1" t="s">
        <v>825</v>
      </c>
      <c r="B255" s="1">
        <v>159.0</v>
      </c>
      <c r="C255" s="1">
        <v>36.0</v>
      </c>
      <c r="D255" s="3">
        <v>46042.92013888889</v>
      </c>
      <c r="E255" s="1">
        <v>49.0</v>
      </c>
      <c r="F255" s="1" t="s">
        <v>35</v>
      </c>
      <c r="G255" s="1" t="s">
        <v>27</v>
      </c>
      <c r="H255" s="1">
        <v>48.0</v>
      </c>
      <c r="I255" s="4" t="str">
        <f>IFERROR(VLOOKUP(C255,Merchants!$A$2:$D$41,2,FALSE),"Merchant not found")</f>
        <v>Merchant_036</v>
      </c>
      <c r="J255" s="4" t="str">
        <f>IFERROR(VLOOKUP(C255,Merchants!$A$2:$D$41,3,FALSE),"Merchant not found")</f>
        <v>entertainment</v>
      </c>
      <c r="K255" s="4" t="str">
        <f>IFERROR(VLOOKUP(C255,Merchants!$A$2:$D$41,4,FALSE),"Merchant not found")</f>
        <v>East</v>
      </c>
      <c r="L255" s="4">
        <f>IFERROR(HLOOKUP(F255,Fee_Lookup!$B$1:$E$2,2,FALSE),"Fee not found")</f>
        <v>0</v>
      </c>
      <c r="M255" s="5">
        <f t="shared" si="1"/>
        <v>46042</v>
      </c>
      <c r="N255" s="4" t="str">
        <f t="shared" si="2"/>
        <v>36|2026-01-20</v>
      </c>
      <c r="O255" s="4">
        <f>IFERROR(VLOOKUP(N255,Merchant_Daily!$A:$B,2,FALSE),0)</f>
        <v>49</v>
      </c>
      <c r="P255" s="4" t="str">
        <f t="shared" si="3"/>
        <v>Standard Merchant Day</v>
      </c>
    </row>
    <row r="256">
      <c r="A256" s="1" t="s">
        <v>826</v>
      </c>
      <c r="B256" s="1">
        <v>66.0</v>
      </c>
      <c r="C256" s="1">
        <v>34.0</v>
      </c>
      <c r="D256" s="3">
        <v>46043.45277777778</v>
      </c>
      <c r="E256" s="1">
        <v>799.0</v>
      </c>
      <c r="F256" s="1" t="s">
        <v>35</v>
      </c>
      <c r="G256" s="1" t="s">
        <v>27</v>
      </c>
      <c r="H256" s="1">
        <v>11.0</v>
      </c>
      <c r="I256" s="4" t="str">
        <f>IFERROR(VLOOKUP(C256,Merchants!$A$2:$D$41,2,FALSE),"Merchant not found")</f>
        <v>Merchant_034</v>
      </c>
      <c r="J256" s="4" t="str">
        <f>IFERROR(VLOOKUP(C256,Merchants!$A$2:$D$41,3,FALSE),"Merchant not found")</f>
        <v>travel</v>
      </c>
      <c r="K256" s="4" t="str">
        <f>IFERROR(VLOOKUP(C256,Merchants!$A$2:$D$41,4,FALSE),"Merchant not found")</f>
        <v>South</v>
      </c>
      <c r="L256" s="4">
        <f>IFERROR(HLOOKUP(F256,Fee_Lookup!$B$1:$E$2,2,FALSE),"Fee not found")</f>
        <v>0</v>
      </c>
      <c r="M256" s="5">
        <f t="shared" si="1"/>
        <v>46043</v>
      </c>
      <c r="N256" s="4" t="str">
        <f t="shared" si="2"/>
        <v>34|2026-01-21</v>
      </c>
      <c r="O256" s="4">
        <f>IFERROR(VLOOKUP(N256,Merchant_Daily!$A:$B,2,FALSE),0)</f>
        <v>799</v>
      </c>
      <c r="P256" s="4" t="str">
        <f t="shared" si="3"/>
        <v>Standard Merchant Day</v>
      </c>
    </row>
    <row r="257">
      <c r="A257" s="1" t="s">
        <v>827</v>
      </c>
      <c r="B257" s="1">
        <v>261.0</v>
      </c>
      <c r="C257" s="1">
        <v>24.0</v>
      </c>
      <c r="D257" s="3">
        <v>46043.89375</v>
      </c>
      <c r="E257" s="1">
        <v>799.0</v>
      </c>
      <c r="F257" s="1" t="s">
        <v>46</v>
      </c>
      <c r="G257" s="1" t="s">
        <v>27</v>
      </c>
      <c r="H257" s="1">
        <v>2.0</v>
      </c>
      <c r="I257" s="4" t="str">
        <f>IFERROR(VLOOKUP(C257,Merchants!$A$2:$D$41,2,FALSE),"Merchant not found")</f>
        <v>Merchant_024</v>
      </c>
      <c r="J257" s="4" t="str">
        <f>IFERROR(VLOOKUP(C257,Merchants!$A$2:$D$41,3,FALSE),"Merchant not found")</f>
        <v>grocery</v>
      </c>
      <c r="K257" s="4" t="str">
        <f>IFERROR(VLOOKUP(C257,Merchants!$A$2:$D$41,4,FALSE),"Merchant not found")</f>
        <v>North</v>
      </c>
      <c r="L257" s="4">
        <f>IFERROR(HLOOKUP(F257,Fee_Lookup!$B$1:$E$2,2,FALSE),"Fee not found")</f>
        <v>0.01</v>
      </c>
      <c r="M257" s="5">
        <f t="shared" si="1"/>
        <v>46043</v>
      </c>
      <c r="N257" s="4" t="str">
        <f t="shared" si="2"/>
        <v>24|2026-01-21</v>
      </c>
      <c r="O257" s="4">
        <f>IFERROR(VLOOKUP(N257,Merchant_Daily!$A:$B,2,FALSE),0)</f>
        <v>799</v>
      </c>
      <c r="P257" s="4" t="str">
        <f t="shared" si="3"/>
        <v>Standard Merchant Day</v>
      </c>
    </row>
    <row r="258">
      <c r="A258" s="1" t="s">
        <v>828</v>
      </c>
      <c r="B258" s="1">
        <v>110.0</v>
      </c>
      <c r="C258" s="1">
        <v>22.0</v>
      </c>
      <c r="D258" s="3">
        <v>46034.38263888889</v>
      </c>
      <c r="E258" s="1">
        <v>799.0</v>
      </c>
      <c r="F258" s="1" t="s">
        <v>35</v>
      </c>
      <c r="G258" s="1" t="s">
        <v>27</v>
      </c>
      <c r="H258" s="1">
        <v>98.0</v>
      </c>
      <c r="I258" s="4" t="str">
        <f>IFERROR(VLOOKUP(C258,Merchants!$A$2:$D$41,2,FALSE),"Merchant not found")</f>
        <v>Merchant_022</v>
      </c>
      <c r="J258" s="4" t="str">
        <f>IFERROR(VLOOKUP(C258,Merchants!$A$2:$D$41,3,FALSE),"Merchant not found")</f>
        <v>travel</v>
      </c>
      <c r="K258" s="4" t="str">
        <f>IFERROR(VLOOKUP(C258,Merchants!$A$2:$D$41,4,FALSE),"Merchant not found")</f>
        <v>South</v>
      </c>
      <c r="L258" s="4">
        <f>IFERROR(HLOOKUP(F258,Fee_Lookup!$B$1:$E$2,2,FALSE),"Fee not found")</f>
        <v>0</v>
      </c>
      <c r="M258" s="5">
        <f t="shared" si="1"/>
        <v>46034</v>
      </c>
      <c r="N258" s="4" t="str">
        <f t="shared" si="2"/>
        <v>22|2026-01-12</v>
      </c>
      <c r="O258" s="4">
        <f>IFERROR(VLOOKUP(N258,Merchant_Daily!$A:$B,2,FALSE),0)</f>
        <v>1697</v>
      </c>
      <c r="P258" s="4" t="str">
        <f t="shared" si="3"/>
        <v>Standard Merchant Day</v>
      </c>
    </row>
    <row r="259">
      <c r="A259" s="1" t="s">
        <v>829</v>
      </c>
      <c r="B259" s="1">
        <v>71.0</v>
      </c>
      <c r="C259" s="1">
        <v>10.0</v>
      </c>
      <c r="D259" s="3">
        <v>46038.259722222225</v>
      </c>
      <c r="E259" s="1">
        <v>49.0</v>
      </c>
      <c r="F259" s="1" t="s">
        <v>35</v>
      </c>
      <c r="G259" s="1" t="s">
        <v>27</v>
      </c>
      <c r="H259" s="1">
        <v>9.0</v>
      </c>
      <c r="I259" s="4" t="str">
        <f>IFERROR(VLOOKUP(C259,Merchants!$A$2:$D$41,2,FALSE),"Merchant not found")</f>
        <v>Merchant_010</v>
      </c>
      <c r="J259" s="4" t="str">
        <f>IFERROR(VLOOKUP(C259,Merchants!$A$2:$D$41,3,FALSE),"Merchant not found")</f>
        <v>grocery</v>
      </c>
      <c r="K259" s="4" t="str">
        <f>IFERROR(VLOOKUP(C259,Merchants!$A$2:$D$41,4,FALSE),"Merchant not found")</f>
        <v>West</v>
      </c>
      <c r="L259" s="4">
        <f>IFERROR(HLOOKUP(F259,Fee_Lookup!$B$1:$E$2,2,FALSE),"Fee not found")</f>
        <v>0</v>
      </c>
      <c r="M259" s="5">
        <f t="shared" si="1"/>
        <v>46038</v>
      </c>
      <c r="N259" s="4" t="str">
        <f t="shared" si="2"/>
        <v>10|2026-01-16</v>
      </c>
      <c r="O259" s="4">
        <f>IFERROR(VLOOKUP(N259,Merchant_Daily!$A:$B,2,FALSE),0)</f>
        <v>49</v>
      </c>
      <c r="P259" s="4" t="str">
        <f t="shared" si="3"/>
        <v>Standard Merchant Day</v>
      </c>
    </row>
    <row r="260">
      <c r="A260" s="1" t="s">
        <v>830</v>
      </c>
      <c r="B260" s="1">
        <v>277.0</v>
      </c>
      <c r="C260" s="1">
        <v>34.0</v>
      </c>
      <c r="D260" s="3">
        <v>46032.14722222222</v>
      </c>
      <c r="E260" s="1">
        <v>49.0</v>
      </c>
      <c r="F260" s="1" t="s">
        <v>35</v>
      </c>
      <c r="G260" s="1" t="s">
        <v>27</v>
      </c>
      <c r="H260" s="1">
        <v>4.0</v>
      </c>
      <c r="I260" s="4" t="str">
        <f>IFERROR(VLOOKUP(C260,Merchants!$A$2:$D$41,2,FALSE),"Merchant not found")</f>
        <v>Merchant_034</v>
      </c>
      <c r="J260" s="4" t="str">
        <f>IFERROR(VLOOKUP(C260,Merchants!$A$2:$D$41,3,FALSE),"Merchant not found")</f>
        <v>travel</v>
      </c>
      <c r="K260" s="4" t="str">
        <f>IFERROR(VLOOKUP(C260,Merchants!$A$2:$D$41,4,FALSE),"Merchant not found")</f>
        <v>South</v>
      </c>
      <c r="L260" s="4">
        <f>IFERROR(HLOOKUP(F260,Fee_Lookup!$B$1:$E$2,2,FALSE),"Fee not found")</f>
        <v>0</v>
      </c>
      <c r="M260" s="5">
        <f t="shared" si="1"/>
        <v>46032</v>
      </c>
      <c r="N260" s="4" t="str">
        <f t="shared" si="2"/>
        <v>34|2026-01-10</v>
      </c>
      <c r="O260" s="4">
        <f>IFERROR(VLOOKUP(N260,Merchant_Daily!$A:$B,2,FALSE),0)</f>
        <v>49</v>
      </c>
      <c r="P260" s="4" t="str">
        <f t="shared" si="3"/>
        <v>Standard Merchant Day</v>
      </c>
    </row>
    <row r="261">
      <c r="A261" s="1" t="s">
        <v>831</v>
      </c>
      <c r="B261" s="1">
        <v>317.0</v>
      </c>
      <c r="C261" s="1">
        <v>9.0</v>
      </c>
      <c r="D261" s="3">
        <v>46044.455555555556</v>
      </c>
      <c r="E261" s="1">
        <v>499.0</v>
      </c>
      <c r="F261" s="1" t="s">
        <v>26</v>
      </c>
      <c r="G261" s="1" t="s">
        <v>27</v>
      </c>
      <c r="H261" s="1">
        <v>76.0</v>
      </c>
      <c r="I261" s="4" t="str">
        <f>IFERROR(VLOOKUP(C261,Merchants!$A$2:$D$41,2,FALSE),"Merchant not found")</f>
        <v>Merchant_009</v>
      </c>
      <c r="J261" s="4" t="str">
        <f>IFERROR(VLOOKUP(C261,Merchants!$A$2:$D$41,3,FALSE),"Merchant not found")</f>
        <v>ecommerce</v>
      </c>
      <c r="K261" s="4" t="str">
        <f>IFERROR(VLOOKUP(C261,Merchants!$A$2:$D$41,4,FALSE),"Merchant not found")</f>
        <v>North</v>
      </c>
      <c r="L261" s="4">
        <f>IFERROR(HLOOKUP(F261,Fee_Lookup!$B$1:$E$2,2,FALSE),"Fee not found")</f>
        <v>0.005</v>
      </c>
      <c r="M261" s="5">
        <f t="shared" si="1"/>
        <v>46044</v>
      </c>
      <c r="N261" s="4" t="str">
        <f t="shared" si="2"/>
        <v>9|2026-01-22</v>
      </c>
      <c r="O261" s="4">
        <f>IFERROR(VLOOKUP(N261,Merchant_Daily!$A:$B,2,FALSE),0)</f>
        <v>1298</v>
      </c>
      <c r="P261" s="4" t="str">
        <f t="shared" si="3"/>
        <v>Standard Merchant Day</v>
      </c>
    </row>
    <row r="262">
      <c r="A262" s="1" t="s">
        <v>832</v>
      </c>
      <c r="B262" s="1">
        <v>93.0</v>
      </c>
      <c r="C262" s="1">
        <v>40.0</v>
      </c>
      <c r="D262" s="3">
        <v>46035.17361111111</v>
      </c>
      <c r="E262" s="1">
        <v>299.0</v>
      </c>
      <c r="F262" s="1" t="s">
        <v>35</v>
      </c>
      <c r="G262" s="1" t="s">
        <v>27</v>
      </c>
      <c r="H262" s="1">
        <v>21.0</v>
      </c>
      <c r="I262" s="4" t="str">
        <f>IFERROR(VLOOKUP(C262,Merchants!$A$2:$D$41,2,FALSE),"Merchant not found")</f>
        <v>Merchant_040</v>
      </c>
      <c r="J262" s="4" t="str">
        <f>IFERROR(VLOOKUP(C262,Merchants!$A$2:$D$41,3,FALSE),"Merchant not found")</f>
        <v>entertainment</v>
      </c>
      <c r="K262" s="4" t="str">
        <f>IFERROR(VLOOKUP(C262,Merchants!$A$2:$D$41,4,FALSE),"Merchant not found")</f>
        <v>South</v>
      </c>
      <c r="L262" s="4">
        <f>IFERROR(HLOOKUP(F262,Fee_Lookup!$B$1:$E$2,2,FALSE),"Fee not found")</f>
        <v>0</v>
      </c>
      <c r="M262" s="5">
        <f t="shared" si="1"/>
        <v>46035</v>
      </c>
      <c r="N262" s="4" t="str">
        <f t="shared" si="2"/>
        <v>40|2026-01-13</v>
      </c>
      <c r="O262" s="4">
        <f>IFERROR(VLOOKUP(N262,Merchant_Daily!$A:$B,2,FALSE),0)</f>
        <v>299</v>
      </c>
      <c r="P262" s="4" t="str">
        <f t="shared" si="3"/>
        <v>Standard Merchant Day</v>
      </c>
    </row>
    <row r="263">
      <c r="A263" s="1" t="s">
        <v>833</v>
      </c>
      <c r="B263" s="1">
        <v>211.0</v>
      </c>
      <c r="C263" s="1">
        <v>24.0</v>
      </c>
      <c r="D263" s="3">
        <v>46046.58472222222</v>
      </c>
      <c r="E263" s="1">
        <v>99.0</v>
      </c>
      <c r="F263" s="1" t="s">
        <v>47</v>
      </c>
      <c r="G263" s="1" t="s">
        <v>27</v>
      </c>
      <c r="H263" s="1">
        <v>86.0</v>
      </c>
      <c r="I263" s="4" t="str">
        <f>IFERROR(VLOOKUP(C263,Merchants!$A$2:$D$41,2,FALSE),"Merchant not found")</f>
        <v>Merchant_024</v>
      </c>
      <c r="J263" s="4" t="str">
        <f>IFERROR(VLOOKUP(C263,Merchants!$A$2:$D$41,3,FALSE),"Merchant not found")</f>
        <v>grocery</v>
      </c>
      <c r="K263" s="4" t="str">
        <f>IFERROR(VLOOKUP(C263,Merchants!$A$2:$D$41,4,FALSE),"Merchant not found")</f>
        <v>North</v>
      </c>
      <c r="L263" s="4">
        <f>IFERROR(HLOOKUP(F263,Fee_Lookup!$B$1:$E$2,2,FALSE),"Fee not found")</f>
        <v>0.015</v>
      </c>
      <c r="M263" s="5">
        <f t="shared" si="1"/>
        <v>46046</v>
      </c>
      <c r="N263" s="4" t="str">
        <f t="shared" si="2"/>
        <v>24|2026-01-24</v>
      </c>
      <c r="O263" s="4">
        <f>IFERROR(VLOOKUP(N263,Merchant_Daily!$A:$B,2,FALSE),0)</f>
        <v>148</v>
      </c>
      <c r="P263" s="4" t="str">
        <f t="shared" si="3"/>
        <v>Standard Merchant Day</v>
      </c>
    </row>
    <row r="264">
      <c r="A264" s="1" t="s">
        <v>834</v>
      </c>
      <c r="B264" s="1">
        <v>313.0</v>
      </c>
      <c r="C264" s="1">
        <v>19.0</v>
      </c>
      <c r="D264" s="3">
        <v>46046.311111111114</v>
      </c>
      <c r="E264" s="1">
        <v>149.0</v>
      </c>
      <c r="F264" s="1" t="s">
        <v>35</v>
      </c>
      <c r="G264" s="1" t="s">
        <v>27</v>
      </c>
      <c r="H264" s="1">
        <v>96.0</v>
      </c>
      <c r="I264" s="4" t="str">
        <f>IFERROR(VLOOKUP(C264,Merchants!$A$2:$D$41,2,FALSE),"Merchant not found")</f>
        <v>Merchant_019</v>
      </c>
      <c r="J264" s="4" t="str">
        <f>IFERROR(VLOOKUP(C264,Merchants!$A$2:$D$41,3,FALSE),"Merchant not found")</f>
        <v>grocery</v>
      </c>
      <c r="K264" s="4" t="str">
        <f>IFERROR(VLOOKUP(C264,Merchants!$A$2:$D$41,4,FALSE),"Merchant not found")</f>
        <v>North</v>
      </c>
      <c r="L264" s="4">
        <f>IFERROR(HLOOKUP(F264,Fee_Lookup!$B$1:$E$2,2,FALSE),"Fee not found")</f>
        <v>0</v>
      </c>
      <c r="M264" s="5">
        <f t="shared" si="1"/>
        <v>46046</v>
      </c>
      <c r="N264" s="4" t="str">
        <f t="shared" si="2"/>
        <v>19|2026-01-24</v>
      </c>
      <c r="O264" s="4">
        <f>IFERROR(VLOOKUP(N264,Merchant_Daily!$A:$B,2,FALSE),0)</f>
        <v>149</v>
      </c>
      <c r="P264" s="4" t="str">
        <f t="shared" si="3"/>
        <v>Standard Merchant Day</v>
      </c>
    </row>
    <row r="265">
      <c r="A265" s="1" t="s">
        <v>835</v>
      </c>
      <c r="B265" s="1">
        <v>274.0</v>
      </c>
      <c r="C265" s="1">
        <v>16.0</v>
      </c>
      <c r="D265" s="3">
        <v>46046.59305555555</v>
      </c>
      <c r="E265" s="1">
        <v>49.0</v>
      </c>
      <c r="F265" s="1" t="s">
        <v>26</v>
      </c>
      <c r="G265" s="1" t="s">
        <v>30</v>
      </c>
      <c r="H265" s="1">
        <v>39.0</v>
      </c>
      <c r="I265" s="4" t="str">
        <f>IFERROR(VLOOKUP(C265,Merchants!$A$2:$D$41,2,FALSE),"Merchant not found")</f>
        <v>Merchant_016</v>
      </c>
      <c r="J265" s="4" t="str">
        <f>IFERROR(VLOOKUP(C265,Merchants!$A$2:$D$41,3,FALSE),"Merchant not found")</f>
        <v>bill_payment</v>
      </c>
      <c r="K265" s="4" t="str">
        <f>IFERROR(VLOOKUP(C265,Merchants!$A$2:$D$41,4,FALSE),"Merchant not found")</f>
        <v>West</v>
      </c>
      <c r="L265" s="4">
        <f>IFERROR(HLOOKUP(F265,Fee_Lookup!$B$1:$E$2,2,FALSE),"Fee not found")</f>
        <v>0.005</v>
      </c>
      <c r="M265" s="5">
        <f t="shared" si="1"/>
        <v>46046</v>
      </c>
      <c r="N265" s="4" t="str">
        <f t="shared" si="2"/>
        <v>16|2026-01-24</v>
      </c>
      <c r="O265" s="4">
        <f>IFERROR(VLOOKUP(N265,Merchant_Daily!$A:$B,2,FALSE),0)</f>
        <v>1548</v>
      </c>
      <c r="P265" s="4" t="str">
        <f t="shared" si="3"/>
        <v>Standard Merchant Day</v>
      </c>
    </row>
    <row r="266">
      <c r="A266" s="1" t="s">
        <v>836</v>
      </c>
      <c r="B266" s="1">
        <v>100.0</v>
      </c>
      <c r="C266" s="1">
        <v>24.0</v>
      </c>
      <c r="D266" s="3">
        <v>46048.66458333333</v>
      </c>
      <c r="E266" s="1">
        <v>299.0</v>
      </c>
      <c r="F266" s="1" t="s">
        <v>35</v>
      </c>
      <c r="G266" s="1" t="s">
        <v>27</v>
      </c>
      <c r="H266" s="1">
        <v>86.0</v>
      </c>
      <c r="I266" s="4" t="str">
        <f>IFERROR(VLOOKUP(C266,Merchants!$A$2:$D$41,2,FALSE),"Merchant not found")</f>
        <v>Merchant_024</v>
      </c>
      <c r="J266" s="4" t="str">
        <f>IFERROR(VLOOKUP(C266,Merchants!$A$2:$D$41,3,FALSE),"Merchant not found")</f>
        <v>grocery</v>
      </c>
      <c r="K266" s="4" t="str">
        <f>IFERROR(VLOOKUP(C266,Merchants!$A$2:$D$41,4,FALSE),"Merchant not found")</f>
        <v>North</v>
      </c>
      <c r="L266" s="4">
        <f>IFERROR(HLOOKUP(F266,Fee_Lookup!$B$1:$E$2,2,FALSE),"Fee not found")</f>
        <v>0</v>
      </c>
      <c r="M266" s="5">
        <f t="shared" si="1"/>
        <v>46048</v>
      </c>
      <c r="N266" s="4" t="str">
        <f t="shared" si="2"/>
        <v>24|2026-01-26</v>
      </c>
      <c r="O266" s="4">
        <f>IFERROR(VLOOKUP(N266,Merchant_Daily!$A:$B,2,FALSE),0)</f>
        <v>348</v>
      </c>
      <c r="P266" s="4" t="str">
        <f t="shared" si="3"/>
        <v>Standard Merchant Day</v>
      </c>
    </row>
    <row r="267">
      <c r="A267" s="1" t="s">
        <v>837</v>
      </c>
      <c r="B267" s="1">
        <v>145.0</v>
      </c>
      <c r="C267" s="1">
        <v>25.0</v>
      </c>
      <c r="D267" s="3">
        <v>46041.603472222225</v>
      </c>
      <c r="E267" s="1">
        <v>2999.0</v>
      </c>
      <c r="F267" s="1" t="s">
        <v>26</v>
      </c>
      <c r="G267" s="1" t="s">
        <v>27</v>
      </c>
      <c r="H267" s="1">
        <v>64.0</v>
      </c>
      <c r="I267" s="4" t="str">
        <f>IFERROR(VLOOKUP(C267,Merchants!$A$2:$D$41,2,FALSE),"Merchant not found")</f>
        <v>Merchant_025</v>
      </c>
      <c r="J267" s="4" t="str">
        <f>IFERROR(VLOOKUP(C267,Merchants!$A$2:$D$41,3,FALSE),"Merchant not found")</f>
        <v>travel</v>
      </c>
      <c r="K267" s="4" t="str">
        <f>IFERROR(VLOOKUP(C267,Merchants!$A$2:$D$41,4,FALSE),"Merchant not found")</f>
        <v>South</v>
      </c>
      <c r="L267" s="4">
        <f>IFERROR(HLOOKUP(F267,Fee_Lookup!$B$1:$E$2,2,FALSE),"Fee not found")</f>
        <v>0.005</v>
      </c>
      <c r="M267" s="5">
        <f t="shared" si="1"/>
        <v>46041</v>
      </c>
      <c r="N267" s="4" t="str">
        <f t="shared" si="2"/>
        <v>25|2026-01-19</v>
      </c>
      <c r="O267" s="4">
        <f>IFERROR(VLOOKUP(N267,Merchant_Daily!$A:$B,2,FALSE),0)</f>
        <v>4498</v>
      </c>
      <c r="P267" s="4" t="str">
        <f t="shared" si="3"/>
        <v>Standard Merchant Day</v>
      </c>
    </row>
    <row r="268">
      <c r="A268" s="1" t="s">
        <v>838</v>
      </c>
      <c r="B268" s="1">
        <v>103.0</v>
      </c>
      <c r="C268" s="1">
        <v>39.0</v>
      </c>
      <c r="D268" s="3">
        <v>46039.54861111111</v>
      </c>
      <c r="E268" s="1">
        <v>2999.0</v>
      </c>
      <c r="F268" s="1" t="s">
        <v>26</v>
      </c>
      <c r="G268" s="1" t="s">
        <v>27</v>
      </c>
      <c r="H268" s="1">
        <v>17.0</v>
      </c>
      <c r="I268" s="4" t="str">
        <f>IFERROR(VLOOKUP(C268,Merchants!$A$2:$D$41,2,FALSE),"Merchant not found")</f>
        <v>Merchant_039</v>
      </c>
      <c r="J268" s="4" t="str">
        <f>IFERROR(VLOOKUP(C268,Merchants!$A$2:$D$41,3,FALSE),"Merchant not found")</f>
        <v>entertainment</v>
      </c>
      <c r="K268" s="4" t="str">
        <f>IFERROR(VLOOKUP(C268,Merchants!$A$2:$D$41,4,FALSE),"Merchant not found")</f>
        <v>North</v>
      </c>
      <c r="L268" s="4">
        <f>IFERROR(HLOOKUP(F268,Fee_Lookup!$B$1:$E$2,2,FALSE),"Fee not found")</f>
        <v>0.005</v>
      </c>
      <c r="M268" s="5">
        <f t="shared" si="1"/>
        <v>46039</v>
      </c>
      <c r="N268" s="4" t="str">
        <f t="shared" si="2"/>
        <v>39|2026-01-17</v>
      </c>
      <c r="O268" s="4">
        <f>IFERROR(VLOOKUP(N268,Merchant_Daily!$A:$B,2,FALSE),0)</f>
        <v>2999</v>
      </c>
      <c r="P268" s="4" t="str">
        <f t="shared" si="3"/>
        <v>Standard Merchant Day</v>
      </c>
    </row>
    <row r="269">
      <c r="A269" s="1" t="s">
        <v>839</v>
      </c>
      <c r="B269" s="1">
        <v>329.0</v>
      </c>
      <c r="C269" s="1">
        <v>31.0</v>
      </c>
      <c r="D269" s="3">
        <v>46050.33541666667</v>
      </c>
      <c r="E269" s="1">
        <v>299.0</v>
      </c>
      <c r="F269" s="1" t="s">
        <v>26</v>
      </c>
      <c r="G269" s="1" t="s">
        <v>27</v>
      </c>
      <c r="H269" s="1">
        <v>47.0</v>
      </c>
      <c r="I269" s="4" t="str">
        <f>IFERROR(VLOOKUP(C269,Merchants!$A$2:$D$41,2,FALSE),"Merchant not found")</f>
        <v>Merchant_031</v>
      </c>
      <c r="J269" s="4" t="str">
        <f>IFERROR(VLOOKUP(C269,Merchants!$A$2:$D$41,3,FALSE),"Merchant not found")</f>
        <v>bill_payment</v>
      </c>
      <c r="K269" s="4" t="str">
        <f>IFERROR(VLOOKUP(C269,Merchants!$A$2:$D$41,4,FALSE),"Merchant not found")</f>
        <v>East</v>
      </c>
      <c r="L269" s="4">
        <f>IFERROR(HLOOKUP(F269,Fee_Lookup!$B$1:$E$2,2,FALSE),"Fee not found")</f>
        <v>0.005</v>
      </c>
      <c r="M269" s="5">
        <f t="shared" si="1"/>
        <v>46050</v>
      </c>
      <c r="N269" s="4" t="str">
        <f t="shared" si="2"/>
        <v>31|2026-01-28</v>
      </c>
      <c r="O269" s="4">
        <f>IFERROR(VLOOKUP(N269,Merchant_Daily!$A:$B,2,FALSE),0)</f>
        <v>299</v>
      </c>
      <c r="P269" s="4" t="str">
        <f t="shared" si="3"/>
        <v>Standard Merchant Day</v>
      </c>
    </row>
    <row r="270">
      <c r="A270" s="1" t="s">
        <v>840</v>
      </c>
      <c r="B270" s="1">
        <v>265.0</v>
      </c>
      <c r="C270" s="1">
        <v>8.0</v>
      </c>
      <c r="D270" s="3">
        <v>46040.15625</v>
      </c>
      <c r="E270" s="1">
        <v>499.0</v>
      </c>
      <c r="F270" s="1" t="s">
        <v>47</v>
      </c>
      <c r="G270" s="1" t="s">
        <v>27</v>
      </c>
      <c r="H270" s="1">
        <v>36.0</v>
      </c>
      <c r="I270" s="4" t="str">
        <f>IFERROR(VLOOKUP(C270,Merchants!$A$2:$D$41,2,FALSE),"Merchant not found")</f>
        <v>Merchant_008</v>
      </c>
      <c r="J270" s="4" t="str">
        <f>IFERROR(VLOOKUP(C270,Merchants!$A$2:$D$41,3,FALSE),"Merchant not found")</f>
        <v>food_delivery</v>
      </c>
      <c r="K270" s="4" t="str">
        <f>IFERROR(VLOOKUP(C270,Merchants!$A$2:$D$41,4,FALSE),"Merchant not found")</f>
        <v>North</v>
      </c>
      <c r="L270" s="4">
        <f>IFERROR(HLOOKUP(F270,Fee_Lookup!$B$1:$E$2,2,FALSE),"Fee not found")</f>
        <v>0.015</v>
      </c>
      <c r="M270" s="5">
        <f t="shared" si="1"/>
        <v>46040</v>
      </c>
      <c r="N270" s="4" t="str">
        <f t="shared" si="2"/>
        <v>8|2026-01-18</v>
      </c>
      <c r="O270" s="4">
        <f>IFERROR(VLOOKUP(N270,Merchant_Daily!$A:$B,2,FALSE),0)</f>
        <v>499</v>
      </c>
      <c r="P270" s="4" t="str">
        <f t="shared" si="3"/>
        <v>Standard Merchant Day</v>
      </c>
    </row>
    <row r="271">
      <c r="A271" s="1" t="s">
        <v>841</v>
      </c>
      <c r="B271" s="1">
        <v>231.0</v>
      </c>
      <c r="C271" s="1">
        <v>33.0</v>
      </c>
      <c r="D271" s="3">
        <v>46025.220138888886</v>
      </c>
      <c r="E271" s="1">
        <v>149.0</v>
      </c>
      <c r="F271" s="1" t="s">
        <v>35</v>
      </c>
      <c r="G271" s="1" t="s">
        <v>30</v>
      </c>
      <c r="H271" s="1">
        <v>18.0</v>
      </c>
      <c r="I271" s="4" t="str">
        <f>IFERROR(VLOOKUP(C271,Merchants!$A$2:$D$41,2,FALSE),"Merchant not found")</f>
        <v>Merchant_033</v>
      </c>
      <c r="J271" s="4" t="str">
        <f>IFERROR(VLOOKUP(C271,Merchants!$A$2:$D$41,3,FALSE),"Merchant not found")</f>
        <v>bill_payment</v>
      </c>
      <c r="K271" s="4" t="str">
        <f>IFERROR(VLOOKUP(C271,Merchants!$A$2:$D$41,4,FALSE),"Merchant not found")</f>
        <v>East</v>
      </c>
      <c r="L271" s="4">
        <f>IFERROR(HLOOKUP(F271,Fee_Lookup!$B$1:$E$2,2,FALSE),"Fee not found")</f>
        <v>0</v>
      </c>
      <c r="M271" s="5">
        <f t="shared" si="1"/>
        <v>46025</v>
      </c>
      <c r="N271" s="4" t="str">
        <f t="shared" si="2"/>
        <v>33|2026-01-03</v>
      </c>
      <c r="O271" s="4">
        <f>IFERROR(VLOOKUP(N271,Merchant_Daily!$A:$B,2,FALSE),0)</f>
        <v>149</v>
      </c>
      <c r="P271" s="4" t="str">
        <f t="shared" si="3"/>
        <v>Standard Merchant Day</v>
      </c>
    </row>
    <row r="272">
      <c r="A272" s="1" t="s">
        <v>842</v>
      </c>
      <c r="B272" s="1">
        <v>114.0</v>
      </c>
      <c r="C272" s="1">
        <v>29.0</v>
      </c>
      <c r="D272" s="3">
        <v>46049.54513888889</v>
      </c>
      <c r="E272" s="1">
        <v>799.0</v>
      </c>
      <c r="F272" s="1" t="s">
        <v>35</v>
      </c>
      <c r="G272" s="1" t="s">
        <v>34</v>
      </c>
      <c r="H272" s="1">
        <v>44.0</v>
      </c>
      <c r="I272" s="4" t="str">
        <f>IFERROR(VLOOKUP(C272,Merchants!$A$2:$D$41,2,FALSE),"Merchant not found")</f>
        <v>Merchant_029</v>
      </c>
      <c r="J272" s="4" t="str">
        <f>IFERROR(VLOOKUP(C272,Merchants!$A$2:$D$41,3,FALSE),"Merchant not found")</f>
        <v>ecommerce</v>
      </c>
      <c r="K272" s="4" t="str">
        <f>IFERROR(VLOOKUP(C272,Merchants!$A$2:$D$41,4,FALSE),"Merchant not found")</f>
        <v>North</v>
      </c>
      <c r="L272" s="4">
        <f>IFERROR(HLOOKUP(F272,Fee_Lookup!$B$1:$E$2,2,FALSE),"Fee not found")</f>
        <v>0</v>
      </c>
      <c r="M272" s="5">
        <f t="shared" si="1"/>
        <v>46049</v>
      </c>
      <c r="N272" s="4" t="str">
        <f t="shared" si="2"/>
        <v>29|2026-01-27</v>
      </c>
      <c r="O272" s="4">
        <f>IFERROR(VLOOKUP(N272,Merchant_Daily!$A:$B,2,FALSE),0)</f>
        <v>898</v>
      </c>
      <c r="P272" s="4" t="str">
        <f t="shared" si="3"/>
        <v>Standard Merchant Day</v>
      </c>
    </row>
    <row r="273">
      <c r="A273" s="1" t="s">
        <v>843</v>
      </c>
      <c r="B273" s="1">
        <v>28.0</v>
      </c>
      <c r="C273" s="1">
        <v>26.0</v>
      </c>
      <c r="D273" s="3">
        <v>46052.018055555556</v>
      </c>
      <c r="E273" s="1">
        <v>1499.0</v>
      </c>
      <c r="F273" s="1" t="s">
        <v>35</v>
      </c>
      <c r="G273" s="1" t="s">
        <v>30</v>
      </c>
      <c r="H273" s="1">
        <v>64.0</v>
      </c>
      <c r="I273" s="4" t="str">
        <f>IFERROR(VLOOKUP(C273,Merchants!$A$2:$D$41,2,FALSE),"Merchant not found")</f>
        <v>Merchant_026</v>
      </c>
      <c r="J273" s="4" t="str">
        <f>IFERROR(VLOOKUP(C273,Merchants!$A$2:$D$41,3,FALSE),"Merchant not found")</f>
        <v>food_delivery</v>
      </c>
      <c r="K273" s="4" t="str">
        <f>IFERROR(VLOOKUP(C273,Merchants!$A$2:$D$41,4,FALSE),"Merchant not found")</f>
        <v>East</v>
      </c>
      <c r="L273" s="4">
        <f>IFERROR(HLOOKUP(F273,Fee_Lookup!$B$1:$E$2,2,FALSE),"Fee not found")</f>
        <v>0</v>
      </c>
      <c r="M273" s="5">
        <f t="shared" si="1"/>
        <v>46052</v>
      </c>
      <c r="N273" s="4" t="str">
        <f t="shared" si="2"/>
        <v>26|2026-01-30</v>
      </c>
      <c r="O273" s="4">
        <f>IFERROR(VLOOKUP(N273,Merchant_Daily!$A:$B,2,FALSE),0)</f>
        <v>1499</v>
      </c>
      <c r="P273" s="4" t="str">
        <f t="shared" si="3"/>
        <v>Standard Merchant Day</v>
      </c>
    </row>
    <row r="274">
      <c r="A274" s="1" t="s">
        <v>844</v>
      </c>
      <c r="B274" s="1">
        <v>42.0</v>
      </c>
      <c r="C274" s="1">
        <v>24.0</v>
      </c>
      <c r="D274" s="3">
        <v>46034.308333333334</v>
      </c>
      <c r="E274" s="1">
        <v>149.0</v>
      </c>
      <c r="F274" s="1" t="s">
        <v>35</v>
      </c>
      <c r="G274" s="1" t="s">
        <v>27</v>
      </c>
      <c r="H274" s="1">
        <v>28.0</v>
      </c>
      <c r="I274" s="4" t="str">
        <f>IFERROR(VLOOKUP(C274,Merchants!$A$2:$D$41,2,FALSE),"Merchant not found")</f>
        <v>Merchant_024</v>
      </c>
      <c r="J274" s="4" t="str">
        <f>IFERROR(VLOOKUP(C274,Merchants!$A$2:$D$41,3,FALSE),"Merchant not found")</f>
        <v>grocery</v>
      </c>
      <c r="K274" s="4" t="str">
        <f>IFERROR(VLOOKUP(C274,Merchants!$A$2:$D$41,4,FALSE),"Merchant not found")</f>
        <v>North</v>
      </c>
      <c r="L274" s="4">
        <f>IFERROR(HLOOKUP(F274,Fee_Lookup!$B$1:$E$2,2,FALSE),"Fee not found")</f>
        <v>0</v>
      </c>
      <c r="M274" s="5">
        <f t="shared" si="1"/>
        <v>46034</v>
      </c>
      <c r="N274" s="4" t="str">
        <f t="shared" si="2"/>
        <v>24|2026-01-12</v>
      </c>
      <c r="O274" s="4">
        <f>IFERROR(VLOOKUP(N274,Merchant_Daily!$A:$B,2,FALSE),0)</f>
        <v>149</v>
      </c>
      <c r="P274" s="4" t="str">
        <f t="shared" si="3"/>
        <v>Standard Merchant Day</v>
      </c>
    </row>
    <row r="275">
      <c r="A275" s="1" t="s">
        <v>845</v>
      </c>
      <c r="B275" s="1">
        <v>51.0</v>
      </c>
      <c r="C275" s="1">
        <v>22.0</v>
      </c>
      <c r="D275" s="3">
        <v>46023.45763888889</v>
      </c>
      <c r="E275" s="1">
        <v>799.0</v>
      </c>
      <c r="F275" s="1" t="s">
        <v>35</v>
      </c>
      <c r="G275" s="1" t="s">
        <v>27</v>
      </c>
      <c r="H275" s="1">
        <v>18.0</v>
      </c>
      <c r="I275" s="4" t="str">
        <f>IFERROR(VLOOKUP(C275,Merchants!$A$2:$D$41,2,FALSE),"Merchant not found")</f>
        <v>Merchant_022</v>
      </c>
      <c r="J275" s="4" t="str">
        <f>IFERROR(VLOOKUP(C275,Merchants!$A$2:$D$41,3,FALSE),"Merchant not found")</f>
        <v>travel</v>
      </c>
      <c r="K275" s="4" t="str">
        <f>IFERROR(VLOOKUP(C275,Merchants!$A$2:$D$41,4,FALSE),"Merchant not found")</f>
        <v>South</v>
      </c>
      <c r="L275" s="4">
        <f>IFERROR(HLOOKUP(F275,Fee_Lookup!$B$1:$E$2,2,FALSE),"Fee not found")</f>
        <v>0</v>
      </c>
      <c r="M275" s="5">
        <f t="shared" si="1"/>
        <v>46023</v>
      </c>
      <c r="N275" s="4" t="str">
        <f t="shared" si="2"/>
        <v>22|2026-01-01</v>
      </c>
      <c r="O275" s="4">
        <f>IFERROR(VLOOKUP(N275,Merchant_Daily!$A:$B,2,FALSE),0)</f>
        <v>799</v>
      </c>
      <c r="P275" s="4" t="str">
        <f t="shared" si="3"/>
        <v>Standard Merchant Day</v>
      </c>
    </row>
    <row r="276">
      <c r="A276" s="1" t="s">
        <v>846</v>
      </c>
      <c r="B276" s="1">
        <v>242.0</v>
      </c>
      <c r="C276" s="1">
        <v>9.0</v>
      </c>
      <c r="D276" s="3">
        <v>46027.05416666667</v>
      </c>
      <c r="E276" s="1">
        <v>149.0</v>
      </c>
      <c r="F276" s="1" t="s">
        <v>35</v>
      </c>
      <c r="G276" s="1" t="s">
        <v>27</v>
      </c>
      <c r="H276" s="1">
        <v>97.0</v>
      </c>
      <c r="I276" s="4" t="str">
        <f>IFERROR(VLOOKUP(C276,Merchants!$A$2:$D$41,2,FALSE),"Merchant not found")</f>
        <v>Merchant_009</v>
      </c>
      <c r="J276" s="4" t="str">
        <f>IFERROR(VLOOKUP(C276,Merchants!$A$2:$D$41,3,FALSE),"Merchant not found")</f>
        <v>ecommerce</v>
      </c>
      <c r="K276" s="4" t="str">
        <f>IFERROR(VLOOKUP(C276,Merchants!$A$2:$D$41,4,FALSE),"Merchant not found")</f>
        <v>North</v>
      </c>
      <c r="L276" s="4">
        <f>IFERROR(HLOOKUP(F276,Fee_Lookup!$B$1:$E$2,2,FALSE),"Fee not found")</f>
        <v>0</v>
      </c>
      <c r="M276" s="5">
        <f t="shared" si="1"/>
        <v>46027</v>
      </c>
      <c r="N276" s="4" t="str">
        <f t="shared" si="2"/>
        <v>9|2026-01-05</v>
      </c>
      <c r="O276" s="4">
        <f>IFERROR(VLOOKUP(N276,Merchant_Daily!$A:$B,2,FALSE),0)</f>
        <v>149</v>
      </c>
      <c r="P276" s="4" t="str">
        <f t="shared" si="3"/>
        <v>Standard Merchant Day</v>
      </c>
    </row>
    <row r="277">
      <c r="A277" s="1" t="s">
        <v>847</v>
      </c>
      <c r="B277" s="1">
        <v>316.0</v>
      </c>
      <c r="C277" s="1">
        <v>1.0</v>
      </c>
      <c r="D277" s="3">
        <v>46045.64444444444</v>
      </c>
      <c r="E277" s="1">
        <v>149.0</v>
      </c>
      <c r="F277" s="1" t="s">
        <v>35</v>
      </c>
      <c r="G277" s="1" t="s">
        <v>27</v>
      </c>
      <c r="H277" s="1">
        <v>10.0</v>
      </c>
      <c r="I277" s="4" t="str">
        <f>IFERROR(VLOOKUP(C277,Merchants!$A$2:$D$41,2,FALSE),"Merchant not found")</f>
        <v>Merchant_001</v>
      </c>
      <c r="J277" s="4" t="str">
        <f>IFERROR(VLOOKUP(C277,Merchants!$A$2:$D$41,3,FALSE),"Merchant not found")</f>
        <v>ecommerce</v>
      </c>
      <c r="K277" s="4" t="str">
        <f>IFERROR(VLOOKUP(C277,Merchants!$A$2:$D$41,4,FALSE),"Merchant not found")</f>
        <v>South</v>
      </c>
      <c r="L277" s="4">
        <f>IFERROR(HLOOKUP(F277,Fee_Lookup!$B$1:$E$2,2,FALSE),"Fee not found")</f>
        <v>0</v>
      </c>
      <c r="M277" s="5">
        <f t="shared" si="1"/>
        <v>46045</v>
      </c>
      <c r="N277" s="4" t="str">
        <f t="shared" si="2"/>
        <v>1|2026-01-23</v>
      </c>
      <c r="O277" s="4">
        <f>IFERROR(VLOOKUP(N277,Merchant_Daily!$A:$B,2,FALSE),0)</f>
        <v>3148</v>
      </c>
      <c r="P277" s="4" t="str">
        <f t="shared" si="3"/>
        <v>Standard Merchant Day</v>
      </c>
    </row>
    <row r="278">
      <c r="A278" s="1" t="s">
        <v>848</v>
      </c>
      <c r="B278" s="1">
        <v>77.0</v>
      </c>
      <c r="C278" s="1">
        <v>36.0</v>
      </c>
      <c r="D278" s="3">
        <v>46023.342361111114</v>
      </c>
      <c r="E278" s="1">
        <v>149.0</v>
      </c>
      <c r="F278" s="1" t="s">
        <v>35</v>
      </c>
      <c r="G278" s="1" t="s">
        <v>27</v>
      </c>
      <c r="H278" s="1">
        <v>93.0</v>
      </c>
      <c r="I278" s="4" t="str">
        <f>IFERROR(VLOOKUP(C278,Merchants!$A$2:$D$41,2,FALSE),"Merchant not found")</f>
        <v>Merchant_036</v>
      </c>
      <c r="J278" s="4" t="str">
        <f>IFERROR(VLOOKUP(C278,Merchants!$A$2:$D$41,3,FALSE),"Merchant not found")</f>
        <v>entertainment</v>
      </c>
      <c r="K278" s="4" t="str">
        <f>IFERROR(VLOOKUP(C278,Merchants!$A$2:$D$41,4,FALSE),"Merchant not found")</f>
        <v>East</v>
      </c>
      <c r="L278" s="4">
        <f>IFERROR(HLOOKUP(F278,Fee_Lookup!$B$1:$E$2,2,FALSE),"Fee not found")</f>
        <v>0</v>
      </c>
      <c r="M278" s="5">
        <f t="shared" si="1"/>
        <v>46023</v>
      </c>
      <c r="N278" s="4" t="str">
        <f t="shared" si="2"/>
        <v>36|2026-01-01</v>
      </c>
      <c r="O278" s="4">
        <f>IFERROR(VLOOKUP(N278,Merchant_Daily!$A:$B,2,FALSE),0)</f>
        <v>149</v>
      </c>
      <c r="P278" s="4" t="str">
        <f t="shared" si="3"/>
        <v>Standard Merchant Day</v>
      </c>
    </row>
    <row r="279">
      <c r="A279" s="1" t="s">
        <v>849</v>
      </c>
      <c r="B279" s="1">
        <v>57.0</v>
      </c>
      <c r="C279" s="1">
        <v>19.0</v>
      </c>
      <c r="D279" s="3">
        <v>46042.68541666667</v>
      </c>
      <c r="E279" s="1">
        <v>49.0</v>
      </c>
      <c r="F279" s="1" t="s">
        <v>35</v>
      </c>
      <c r="G279" s="1" t="s">
        <v>27</v>
      </c>
      <c r="H279" s="1">
        <v>30.0</v>
      </c>
      <c r="I279" s="4" t="str">
        <f>IFERROR(VLOOKUP(C279,Merchants!$A$2:$D$41,2,FALSE),"Merchant not found")</f>
        <v>Merchant_019</v>
      </c>
      <c r="J279" s="4" t="str">
        <f>IFERROR(VLOOKUP(C279,Merchants!$A$2:$D$41,3,FALSE),"Merchant not found")</f>
        <v>grocery</v>
      </c>
      <c r="K279" s="4" t="str">
        <f>IFERROR(VLOOKUP(C279,Merchants!$A$2:$D$41,4,FALSE),"Merchant not found")</f>
        <v>North</v>
      </c>
      <c r="L279" s="4">
        <f>IFERROR(HLOOKUP(F279,Fee_Lookup!$B$1:$E$2,2,FALSE),"Fee not found")</f>
        <v>0</v>
      </c>
      <c r="M279" s="5">
        <f t="shared" si="1"/>
        <v>46042</v>
      </c>
      <c r="N279" s="4" t="str">
        <f t="shared" si="2"/>
        <v>19|2026-01-20</v>
      </c>
      <c r="O279" s="4">
        <f>IFERROR(VLOOKUP(N279,Merchant_Daily!$A:$B,2,FALSE),0)</f>
        <v>348</v>
      </c>
      <c r="P279" s="4" t="str">
        <f t="shared" si="3"/>
        <v>Standard Merchant Day</v>
      </c>
    </row>
    <row r="280">
      <c r="A280" s="1" t="s">
        <v>850</v>
      </c>
      <c r="B280" s="1">
        <v>123.0</v>
      </c>
      <c r="C280" s="1">
        <v>27.0</v>
      </c>
      <c r="D280" s="3">
        <v>46032.12708333333</v>
      </c>
      <c r="E280" s="1">
        <v>149.0</v>
      </c>
      <c r="F280" s="1" t="s">
        <v>47</v>
      </c>
      <c r="G280" s="1" t="s">
        <v>27</v>
      </c>
      <c r="H280" s="1">
        <v>81.0</v>
      </c>
      <c r="I280" s="4" t="str">
        <f>IFERROR(VLOOKUP(C280,Merchants!$A$2:$D$41,2,FALSE),"Merchant not found")</f>
        <v>Merchant_027</v>
      </c>
      <c r="J280" s="4" t="str">
        <f>IFERROR(VLOOKUP(C280,Merchants!$A$2:$D$41,3,FALSE),"Merchant not found")</f>
        <v>ecommerce</v>
      </c>
      <c r="K280" s="4" t="str">
        <f>IFERROR(VLOOKUP(C280,Merchants!$A$2:$D$41,4,FALSE),"Merchant not found")</f>
        <v>North</v>
      </c>
      <c r="L280" s="4">
        <f>IFERROR(HLOOKUP(F280,Fee_Lookup!$B$1:$E$2,2,FALSE),"Fee not found")</f>
        <v>0.015</v>
      </c>
      <c r="M280" s="5">
        <f t="shared" si="1"/>
        <v>46032</v>
      </c>
      <c r="N280" s="4" t="str">
        <f t="shared" si="2"/>
        <v>27|2026-01-10</v>
      </c>
      <c r="O280" s="4">
        <f>IFERROR(VLOOKUP(N280,Merchant_Daily!$A:$B,2,FALSE),0)</f>
        <v>149</v>
      </c>
      <c r="P280" s="4" t="str">
        <f t="shared" si="3"/>
        <v>Standard Merchant Day</v>
      </c>
    </row>
    <row r="281">
      <c r="A281" s="1" t="s">
        <v>851</v>
      </c>
      <c r="B281" s="1">
        <v>33.0</v>
      </c>
      <c r="C281" s="1">
        <v>8.0</v>
      </c>
      <c r="D281" s="3">
        <v>46048.81180555555</v>
      </c>
      <c r="E281" s="1">
        <v>299.0</v>
      </c>
      <c r="F281" s="1" t="s">
        <v>26</v>
      </c>
      <c r="G281" s="1" t="s">
        <v>27</v>
      </c>
      <c r="H281" s="1">
        <v>63.0</v>
      </c>
      <c r="I281" s="4" t="str">
        <f>IFERROR(VLOOKUP(C281,Merchants!$A$2:$D$41,2,FALSE),"Merchant not found")</f>
        <v>Merchant_008</v>
      </c>
      <c r="J281" s="4" t="str">
        <f>IFERROR(VLOOKUP(C281,Merchants!$A$2:$D$41,3,FALSE),"Merchant not found")</f>
        <v>food_delivery</v>
      </c>
      <c r="K281" s="4" t="str">
        <f>IFERROR(VLOOKUP(C281,Merchants!$A$2:$D$41,4,FALSE),"Merchant not found")</f>
        <v>North</v>
      </c>
      <c r="L281" s="4">
        <f>IFERROR(HLOOKUP(F281,Fee_Lookup!$B$1:$E$2,2,FALSE),"Fee not found")</f>
        <v>0.005</v>
      </c>
      <c r="M281" s="5">
        <f t="shared" si="1"/>
        <v>46048</v>
      </c>
      <c r="N281" s="4" t="str">
        <f t="shared" si="2"/>
        <v>8|2026-01-26</v>
      </c>
      <c r="O281" s="4">
        <f>IFERROR(VLOOKUP(N281,Merchant_Daily!$A:$B,2,FALSE),0)</f>
        <v>598</v>
      </c>
      <c r="P281" s="4" t="str">
        <f t="shared" si="3"/>
        <v>Standard Merchant Day</v>
      </c>
    </row>
    <row r="282">
      <c r="A282" s="1" t="s">
        <v>852</v>
      </c>
      <c r="B282" s="1">
        <v>324.0</v>
      </c>
      <c r="C282" s="1">
        <v>33.0</v>
      </c>
      <c r="D282" s="3">
        <v>46042.709027777775</v>
      </c>
      <c r="E282" s="1">
        <v>499.0</v>
      </c>
      <c r="F282" s="1" t="s">
        <v>35</v>
      </c>
      <c r="G282" s="1" t="s">
        <v>27</v>
      </c>
      <c r="H282" s="1">
        <v>73.0</v>
      </c>
      <c r="I282" s="4" t="str">
        <f>IFERROR(VLOOKUP(C282,Merchants!$A$2:$D$41,2,FALSE),"Merchant not found")</f>
        <v>Merchant_033</v>
      </c>
      <c r="J282" s="4" t="str">
        <f>IFERROR(VLOOKUP(C282,Merchants!$A$2:$D$41,3,FALSE),"Merchant not found")</f>
        <v>bill_payment</v>
      </c>
      <c r="K282" s="4" t="str">
        <f>IFERROR(VLOOKUP(C282,Merchants!$A$2:$D$41,4,FALSE),"Merchant not found")</f>
        <v>East</v>
      </c>
      <c r="L282" s="4">
        <f>IFERROR(HLOOKUP(F282,Fee_Lookup!$B$1:$E$2,2,FALSE),"Fee not found")</f>
        <v>0</v>
      </c>
      <c r="M282" s="5">
        <f t="shared" si="1"/>
        <v>46042</v>
      </c>
      <c r="N282" s="4" t="str">
        <f t="shared" si="2"/>
        <v>33|2026-01-20</v>
      </c>
      <c r="O282" s="4">
        <f>IFERROR(VLOOKUP(N282,Merchant_Daily!$A:$B,2,FALSE),0)</f>
        <v>499</v>
      </c>
      <c r="P282" s="4" t="str">
        <f t="shared" si="3"/>
        <v>Standard Merchant Day</v>
      </c>
    </row>
    <row r="283">
      <c r="A283" s="1" t="s">
        <v>853</v>
      </c>
      <c r="B283" s="1">
        <v>150.0</v>
      </c>
      <c r="C283" s="1">
        <v>28.0</v>
      </c>
      <c r="D283" s="3">
        <v>46030.92291666667</v>
      </c>
      <c r="E283" s="1">
        <v>49.0</v>
      </c>
      <c r="F283" s="1" t="s">
        <v>35</v>
      </c>
      <c r="G283" s="1" t="s">
        <v>30</v>
      </c>
      <c r="H283" s="1">
        <v>0.0</v>
      </c>
      <c r="I283" s="4" t="str">
        <f>IFERROR(VLOOKUP(C283,Merchants!$A$2:$D$41,2,FALSE),"Merchant not found")</f>
        <v>Merchant_028</v>
      </c>
      <c r="J283" s="4" t="str">
        <f>IFERROR(VLOOKUP(C283,Merchants!$A$2:$D$41,3,FALSE),"Merchant not found")</f>
        <v>ecommerce</v>
      </c>
      <c r="K283" s="4" t="str">
        <f>IFERROR(VLOOKUP(C283,Merchants!$A$2:$D$41,4,FALSE),"Merchant not found")</f>
        <v>South</v>
      </c>
      <c r="L283" s="4">
        <f>IFERROR(HLOOKUP(F283,Fee_Lookup!$B$1:$E$2,2,FALSE),"Fee not found")</f>
        <v>0</v>
      </c>
      <c r="M283" s="5">
        <f t="shared" si="1"/>
        <v>46030</v>
      </c>
      <c r="N283" s="4" t="str">
        <f t="shared" si="2"/>
        <v>28|2026-01-08</v>
      </c>
      <c r="O283" s="4">
        <f>IFERROR(VLOOKUP(N283,Merchant_Daily!$A:$B,2,FALSE),0)</f>
        <v>49</v>
      </c>
      <c r="P283" s="4" t="str">
        <f t="shared" si="3"/>
        <v>Standard Merchant Day</v>
      </c>
    </row>
    <row r="284">
      <c r="A284" s="1" t="s">
        <v>854</v>
      </c>
      <c r="B284" s="1">
        <v>293.0</v>
      </c>
      <c r="C284" s="1">
        <v>27.0</v>
      </c>
      <c r="D284" s="3">
        <v>46042.46875</v>
      </c>
      <c r="E284" s="1">
        <v>4999.0</v>
      </c>
      <c r="F284" s="1" t="s">
        <v>35</v>
      </c>
      <c r="G284" s="1" t="s">
        <v>27</v>
      </c>
      <c r="H284" s="1">
        <v>23.0</v>
      </c>
      <c r="I284" s="4" t="str">
        <f>IFERROR(VLOOKUP(C284,Merchants!$A$2:$D$41,2,FALSE),"Merchant not found")</f>
        <v>Merchant_027</v>
      </c>
      <c r="J284" s="4" t="str">
        <f>IFERROR(VLOOKUP(C284,Merchants!$A$2:$D$41,3,FALSE),"Merchant not found")</f>
        <v>ecommerce</v>
      </c>
      <c r="K284" s="4" t="str">
        <f>IFERROR(VLOOKUP(C284,Merchants!$A$2:$D$41,4,FALSE),"Merchant not found")</f>
        <v>North</v>
      </c>
      <c r="L284" s="4">
        <f>IFERROR(HLOOKUP(F284,Fee_Lookup!$B$1:$E$2,2,FALSE),"Fee not found")</f>
        <v>0</v>
      </c>
      <c r="M284" s="5">
        <f t="shared" si="1"/>
        <v>46042</v>
      </c>
      <c r="N284" s="4" t="str">
        <f t="shared" si="2"/>
        <v>27|2026-01-20</v>
      </c>
      <c r="O284" s="4">
        <f>IFERROR(VLOOKUP(N284,Merchant_Daily!$A:$B,2,FALSE),0)</f>
        <v>4999</v>
      </c>
      <c r="P284" s="4" t="str">
        <f t="shared" si="3"/>
        <v>Standard Merchant Day</v>
      </c>
    </row>
    <row r="285">
      <c r="A285" s="1" t="s">
        <v>855</v>
      </c>
      <c r="B285" s="1">
        <v>269.0</v>
      </c>
      <c r="C285" s="1">
        <v>24.0</v>
      </c>
      <c r="D285" s="3">
        <v>46044.87847222222</v>
      </c>
      <c r="E285" s="1">
        <v>49.0</v>
      </c>
      <c r="F285" s="1" t="s">
        <v>26</v>
      </c>
      <c r="G285" s="1" t="s">
        <v>27</v>
      </c>
      <c r="H285" s="1">
        <v>8.0</v>
      </c>
      <c r="I285" s="4" t="str">
        <f>IFERROR(VLOOKUP(C285,Merchants!$A$2:$D$41,2,FALSE),"Merchant not found")</f>
        <v>Merchant_024</v>
      </c>
      <c r="J285" s="4" t="str">
        <f>IFERROR(VLOOKUP(C285,Merchants!$A$2:$D$41,3,FALSE),"Merchant not found")</f>
        <v>grocery</v>
      </c>
      <c r="K285" s="4" t="str">
        <f>IFERROR(VLOOKUP(C285,Merchants!$A$2:$D$41,4,FALSE),"Merchant not found")</f>
        <v>North</v>
      </c>
      <c r="L285" s="4">
        <f>IFERROR(HLOOKUP(F285,Fee_Lookup!$B$1:$E$2,2,FALSE),"Fee not found")</f>
        <v>0.005</v>
      </c>
      <c r="M285" s="5">
        <f t="shared" si="1"/>
        <v>46044</v>
      </c>
      <c r="N285" s="4" t="str">
        <f t="shared" si="2"/>
        <v>24|2026-01-22</v>
      </c>
      <c r="O285" s="4">
        <f>IFERROR(VLOOKUP(N285,Merchant_Daily!$A:$B,2,FALSE),0)</f>
        <v>49</v>
      </c>
      <c r="P285" s="4" t="str">
        <f t="shared" si="3"/>
        <v>Standard Merchant Day</v>
      </c>
    </row>
    <row r="286">
      <c r="A286" s="1" t="s">
        <v>856</v>
      </c>
      <c r="B286" s="1">
        <v>260.0</v>
      </c>
      <c r="C286" s="1">
        <v>36.0</v>
      </c>
      <c r="D286" s="3">
        <v>46039.73055555556</v>
      </c>
      <c r="E286" s="1">
        <v>1499.0</v>
      </c>
      <c r="F286" s="1" t="s">
        <v>35</v>
      </c>
      <c r="G286" s="1" t="s">
        <v>27</v>
      </c>
      <c r="H286" s="1">
        <v>2.0</v>
      </c>
      <c r="I286" s="4" t="str">
        <f>IFERROR(VLOOKUP(C286,Merchants!$A$2:$D$41,2,FALSE),"Merchant not found")</f>
        <v>Merchant_036</v>
      </c>
      <c r="J286" s="4" t="str">
        <f>IFERROR(VLOOKUP(C286,Merchants!$A$2:$D$41,3,FALSE),"Merchant not found")</f>
        <v>entertainment</v>
      </c>
      <c r="K286" s="4" t="str">
        <f>IFERROR(VLOOKUP(C286,Merchants!$A$2:$D$41,4,FALSE),"Merchant not found")</f>
        <v>East</v>
      </c>
      <c r="L286" s="4">
        <f>IFERROR(HLOOKUP(F286,Fee_Lookup!$B$1:$E$2,2,FALSE),"Fee not found")</f>
        <v>0</v>
      </c>
      <c r="M286" s="5">
        <f t="shared" si="1"/>
        <v>46039</v>
      </c>
      <c r="N286" s="4" t="str">
        <f t="shared" si="2"/>
        <v>36|2026-01-17</v>
      </c>
      <c r="O286" s="4">
        <f>IFERROR(VLOOKUP(N286,Merchant_Daily!$A:$B,2,FALSE),0)</f>
        <v>1499</v>
      </c>
      <c r="P286" s="4" t="str">
        <f t="shared" si="3"/>
        <v>Standard Merchant Day</v>
      </c>
    </row>
    <row r="287">
      <c r="A287" s="1" t="s">
        <v>857</v>
      </c>
      <c r="B287" s="1">
        <v>326.0</v>
      </c>
      <c r="C287" s="1">
        <v>25.0</v>
      </c>
      <c r="D287" s="3">
        <v>46035.626388888886</v>
      </c>
      <c r="E287" s="1">
        <v>49.0</v>
      </c>
      <c r="F287" s="1" t="s">
        <v>35</v>
      </c>
      <c r="G287" s="1" t="s">
        <v>27</v>
      </c>
      <c r="H287" s="1">
        <v>47.0</v>
      </c>
      <c r="I287" s="4" t="str">
        <f>IFERROR(VLOOKUP(C287,Merchants!$A$2:$D$41,2,FALSE),"Merchant not found")</f>
        <v>Merchant_025</v>
      </c>
      <c r="J287" s="4" t="str">
        <f>IFERROR(VLOOKUP(C287,Merchants!$A$2:$D$41,3,FALSE),"Merchant not found")</f>
        <v>travel</v>
      </c>
      <c r="K287" s="4" t="str">
        <f>IFERROR(VLOOKUP(C287,Merchants!$A$2:$D$41,4,FALSE),"Merchant not found")</f>
        <v>South</v>
      </c>
      <c r="L287" s="4">
        <f>IFERROR(HLOOKUP(F287,Fee_Lookup!$B$1:$E$2,2,FALSE),"Fee not found")</f>
        <v>0</v>
      </c>
      <c r="M287" s="5">
        <f t="shared" si="1"/>
        <v>46035</v>
      </c>
      <c r="N287" s="4" t="str">
        <f t="shared" si="2"/>
        <v>25|2026-01-13</v>
      </c>
      <c r="O287" s="4">
        <f>IFERROR(VLOOKUP(N287,Merchant_Daily!$A:$B,2,FALSE),0)</f>
        <v>49</v>
      </c>
      <c r="P287" s="4" t="str">
        <f t="shared" si="3"/>
        <v>Standard Merchant Day</v>
      </c>
    </row>
    <row r="288">
      <c r="A288" s="1" t="s">
        <v>858</v>
      </c>
      <c r="B288" s="1">
        <v>183.0</v>
      </c>
      <c r="C288" s="1">
        <v>5.0</v>
      </c>
      <c r="D288" s="3">
        <v>46031.959027777775</v>
      </c>
      <c r="E288" s="1">
        <v>49.0</v>
      </c>
      <c r="F288" s="1" t="s">
        <v>46</v>
      </c>
      <c r="G288" s="1" t="s">
        <v>27</v>
      </c>
      <c r="H288" s="1">
        <v>44.0</v>
      </c>
      <c r="I288" s="4" t="str">
        <f>IFERROR(VLOOKUP(C288,Merchants!$A$2:$D$41,2,FALSE),"Merchant not found")</f>
        <v>Merchant_005</v>
      </c>
      <c r="J288" s="4" t="str">
        <f>IFERROR(VLOOKUP(C288,Merchants!$A$2:$D$41,3,FALSE),"Merchant not found")</f>
        <v>recharge</v>
      </c>
      <c r="K288" s="4" t="str">
        <f>IFERROR(VLOOKUP(C288,Merchants!$A$2:$D$41,4,FALSE),"Merchant not found")</f>
        <v>South</v>
      </c>
      <c r="L288" s="4">
        <f>IFERROR(HLOOKUP(F288,Fee_Lookup!$B$1:$E$2,2,FALSE),"Fee not found")</f>
        <v>0.01</v>
      </c>
      <c r="M288" s="5">
        <f t="shared" si="1"/>
        <v>46031</v>
      </c>
      <c r="N288" s="4" t="str">
        <f t="shared" si="2"/>
        <v>5|2026-01-09</v>
      </c>
      <c r="O288" s="4">
        <f>IFERROR(VLOOKUP(N288,Merchant_Daily!$A:$B,2,FALSE),0)</f>
        <v>348</v>
      </c>
      <c r="P288" s="4" t="str">
        <f t="shared" si="3"/>
        <v>Standard Merchant Day</v>
      </c>
    </row>
    <row r="289">
      <c r="A289" s="1" t="s">
        <v>859</v>
      </c>
      <c r="B289" s="1">
        <v>322.0</v>
      </c>
      <c r="C289" s="1">
        <v>7.0</v>
      </c>
      <c r="D289" s="3">
        <v>46030.9875</v>
      </c>
      <c r="E289" s="1">
        <v>299.0</v>
      </c>
      <c r="F289" s="1" t="s">
        <v>35</v>
      </c>
      <c r="G289" s="1" t="s">
        <v>27</v>
      </c>
      <c r="H289" s="1">
        <v>98.0</v>
      </c>
      <c r="I289" s="4" t="str">
        <f>IFERROR(VLOOKUP(C289,Merchants!$A$2:$D$41,2,FALSE),"Merchant not found")</f>
        <v>Merchant_007</v>
      </c>
      <c r="J289" s="4" t="str">
        <f>IFERROR(VLOOKUP(C289,Merchants!$A$2:$D$41,3,FALSE),"Merchant not found")</f>
        <v>food_delivery</v>
      </c>
      <c r="K289" s="4" t="str">
        <f>IFERROR(VLOOKUP(C289,Merchants!$A$2:$D$41,4,FALSE),"Merchant not found")</f>
        <v>East</v>
      </c>
      <c r="L289" s="4">
        <f>IFERROR(HLOOKUP(F289,Fee_Lookup!$B$1:$E$2,2,FALSE),"Fee not found")</f>
        <v>0</v>
      </c>
      <c r="M289" s="5">
        <f t="shared" si="1"/>
        <v>46030</v>
      </c>
      <c r="N289" s="4" t="str">
        <f t="shared" si="2"/>
        <v>7|2026-01-08</v>
      </c>
      <c r="O289" s="4">
        <f>IFERROR(VLOOKUP(N289,Merchant_Daily!$A:$B,2,FALSE),0)</f>
        <v>299</v>
      </c>
      <c r="P289" s="4" t="str">
        <f t="shared" si="3"/>
        <v>Standard Merchant Day</v>
      </c>
    </row>
    <row r="290">
      <c r="A290" s="1" t="s">
        <v>860</v>
      </c>
      <c r="B290" s="1">
        <v>171.0</v>
      </c>
      <c r="C290" s="1">
        <v>9.0</v>
      </c>
      <c r="D290" s="3">
        <v>46041.99166666667</v>
      </c>
      <c r="E290" s="1">
        <v>299.0</v>
      </c>
      <c r="F290" s="1" t="s">
        <v>35</v>
      </c>
      <c r="G290" s="1" t="s">
        <v>27</v>
      </c>
      <c r="H290" s="1">
        <v>5.0</v>
      </c>
      <c r="I290" s="4" t="str">
        <f>IFERROR(VLOOKUP(C290,Merchants!$A$2:$D$41,2,FALSE),"Merchant not found")</f>
        <v>Merchant_009</v>
      </c>
      <c r="J290" s="4" t="str">
        <f>IFERROR(VLOOKUP(C290,Merchants!$A$2:$D$41,3,FALSE),"Merchant not found")</f>
        <v>ecommerce</v>
      </c>
      <c r="K290" s="4" t="str">
        <f>IFERROR(VLOOKUP(C290,Merchants!$A$2:$D$41,4,FALSE),"Merchant not found")</f>
        <v>North</v>
      </c>
      <c r="L290" s="4">
        <f>IFERROR(HLOOKUP(F290,Fee_Lookup!$B$1:$E$2,2,FALSE),"Fee not found")</f>
        <v>0</v>
      </c>
      <c r="M290" s="5">
        <f t="shared" si="1"/>
        <v>46041</v>
      </c>
      <c r="N290" s="4" t="str">
        <f t="shared" si="2"/>
        <v>9|2026-01-19</v>
      </c>
      <c r="O290" s="4">
        <f>IFERROR(VLOOKUP(N290,Merchant_Daily!$A:$B,2,FALSE),0)</f>
        <v>299</v>
      </c>
      <c r="P290" s="4" t="str">
        <f t="shared" si="3"/>
        <v>Standard Merchant Day</v>
      </c>
    </row>
    <row r="291">
      <c r="A291" s="1" t="s">
        <v>861</v>
      </c>
      <c r="B291" s="1">
        <v>330.0</v>
      </c>
      <c r="C291" s="1">
        <v>12.0</v>
      </c>
      <c r="D291" s="3">
        <v>46034.722916666666</v>
      </c>
      <c r="E291" s="1">
        <v>1499.0</v>
      </c>
      <c r="F291" s="1" t="s">
        <v>47</v>
      </c>
      <c r="G291" s="1" t="s">
        <v>27</v>
      </c>
      <c r="H291" s="1">
        <v>99.0</v>
      </c>
      <c r="I291" s="4" t="str">
        <f>IFERROR(VLOOKUP(C291,Merchants!$A$2:$D$41,2,FALSE),"Merchant not found")</f>
        <v>Merchant_012</v>
      </c>
      <c r="J291" s="4" t="str">
        <f>IFERROR(VLOOKUP(C291,Merchants!$A$2:$D$41,3,FALSE),"Merchant not found")</f>
        <v>ecommerce</v>
      </c>
      <c r="K291" s="4" t="str">
        <f>IFERROR(VLOOKUP(C291,Merchants!$A$2:$D$41,4,FALSE),"Merchant not found")</f>
        <v>East</v>
      </c>
      <c r="L291" s="4">
        <f>IFERROR(HLOOKUP(F291,Fee_Lookup!$B$1:$E$2,2,FALSE),"Fee not found")</f>
        <v>0.015</v>
      </c>
      <c r="M291" s="5">
        <f t="shared" si="1"/>
        <v>46034</v>
      </c>
      <c r="N291" s="4" t="str">
        <f t="shared" si="2"/>
        <v>12|2026-01-12</v>
      </c>
      <c r="O291" s="4">
        <f>IFERROR(VLOOKUP(N291,Merchant_Daily!$A:$B,2,FALSE),0)</f>
        <v>1998</v>
      </c>
      <c r="P291" s="4" t="str">
        <f t="shared" si="3"/>
        <v>Standard Merchant Day</v>
      </c>
    </row>
    <row r="292">
      <c r="A292" s="1" t="s">
        <v>862</v>
      </c>
      <c r="B292" s="1">
        <v>246.0</v>
      </c>
      <c r="C292" s="1">
        <v>12.0</v>
      </c>
      <c r="D292" s="3">
        <v>46044.61388888889</v>
      </c>
      <c r="E292" s="1">
        <v>99.0</v>
      </c>
      <c r="F292" s="1" t="s">
        <v>26</v>
      </c>
      <c r="G292" s="1" t="s">
        <v>27</v>
      </c>
      <c r="H292" s="1">
        <v>17.0</v>
      </c>
      <c r="I292" s="4" t="str">
        <f>IFERROR(VLOOKUP(C292,Merchants!$A$2:$D$41,2,FALSE),"Merchant not found")</f>
        <v>Merchant_012</v>
      </c>
      <c r="J292" s="4" t="str">
        <f>IFERROR(VLOOKUP(C292,Merchants!$A$2:$D$41,3,FALSE),"Merchant not found")</f>
        <v>ecommerce</v>
      </c>
      <c r="K292" s="4" t="str">
        <f>IFERROR(VLOOKUP(C292,Merchants!$A$2:$D$41,4,FALSE),"Merchant not found")</f>
        <v>East</v>
      </c>
      <c r="L292" s="4">
        <f>IFERROR(HLOOKUP(F292,Fee_Lookup!$B$1:$E$2,2,FALSE),"Fee not found")</f>
        <v>0.005</v>
      </c>
      <c r="M292" s="5">
        <f t="shared" si="1"/>
        <v>46044</v>
      </c>
      <c r="N292" s="4" t="str">
        <f t="shared" si="2"/>
        <v>12|2026-01-22</v>
      </c>
      <c r="O292" s="4">
        <f>IFERROR(VLOOKUP(N292,Merchant_Daily!$A:$B,2,FALSE),0)</f>
        <v>99</v>
      </c>
      <c r="P292" s="4" t="str">
        <f t="shared" si="3"/>
        <v>Standard Merchant Day</v>
      </c>
    </row>
    <row r="293">
      <c r="A293" s="1" t="s">
        <v>863</v>
      </c>
      <c r="B293" s="1">
        <v>235.0</v>
      </c>
      <c r="C293" s="1">
        <v>3.0</v>
      </c>
      <c r="D293" s="3">
        <v>46025.950694444444</v>
      </c>
      <c r="E293" s="1">
        <v>49.0</v>
      </c>
      <c r="F293" s="1" t="s">
        <v>35</v>
      </c>
      <c r="G293" s="1" t="s">
        <v>27</v>
      </c>
      <c r="H293" s="1">
        <v>37.0</v>
      </c>
      <c r="I293" s="4" t="str">
        <f>IFERROR(VLOOKUP(C293,Merchants!$A$2:$D$41,2,FALSE),"Merchant not found")</f>
        <v>Merchant_003</v>
      </c>
      <c r="J293" s="4" t="str">
        <f>IFERROR(VLOOKUP(C293,Merchants!$A$2:$D$41,3,FALSE),"Merchant not found")</f>
        <v>grocery</v>
      </c>
      <c r="K293" s="4" t="str">
        <f>IFERROR(VLOOKUP(C293,Merchants!$A$2:$D$41,4,FALSE),"Merchant not found")</f>
        <v>East</v>
      </c>
      <c r="L293" s="4">
        <f>IFERROR(HLOOKUP(F293,Fee_Lookup!$B$1:$E$2,2,FALSE),"Fee not found")</f>
        <v>0</v>
      </c>
      <c r="M293" s="5">
        <f t="shared" si="1"/>
        <v>46025</v>
      </c>
      <c r="N293" s="4" t="str">
        <f t="shared" si="2"/>
        <v>3|2026-01-03</v>
      </c>
      <c r="O293" s="4">
        <f>IFERROR(VLOOKUP(N293,Merchant_Daily!$A:$B,2,FALSE),0)</f>
        <v>198</v>
      </c>
      <c r="P293" s="4" t="str">
        <f t="shared" si="3"/>
        <v>Standard Merchant Day</v>
      </c>
    </row>
    <row r="294">
      <c r="A294" s="1" t="s">
        <v>864</v>
      </c>
      <c r="B294" s="1">
        <v>103.0</v>
      </c>
      <c r="C294" s="1">
        <v>3.0</v>
      </c>
      <c r="D294" s="3">
        <v>46029.07638888889</v>
      </c>
      <c r="E294" s="1">
        <v>499.0</v>
      </c>
      <c r="F294" s="1" t="s">
        <v>35</v>
      </c>
      <c r="G294" s="1" t="s">
        <v>27</v>
      </c>
      <c r="H294" s="1">
        <v>40.0</v>
      </c>
      <c r="I294" s="4" t="str">
        <f>IFERROR(VLOOKUP(C294,Merchants!$A$2:$D$41,2,FALSE),"Merchant not found")</f>
        <v>Merchant_003</v>
      </c>
      <c r="J294" s="4" t="str">
        <f>IFERROR(VLOOKUP(C294,Merchants!$A$2:$D$41,3,FALSE),"Merchant not found")</f>
        <v>grocery</v>
      </c>
      <c r="K294" s="4" t="str">
        <f>IFERROR(VLOOKUP(C294,Merchants!$A$2:$D$41,4,FALSE),"Merchant not found")</f>
        <v>East</v>
      </c>
      <c r="L294" s="4">
        <f>IFERROR(HLOOKUP(F294,Fee_Lookup!$B$1:$E$2,2,FALSE),"Fee not found")</f>
        <v>0</v>
      </c>
      <c r="M294" s="5">
        <f t="shared" si="1"/>
        <v>46029</v>
      </c>
      <c r="N294" s="4" t="str">
        <f t="shared" si="2"/>
        <v>3|2026-01-07</v>
      </c>
      <c r="O294" s="4">
        <f>IFERROR(VLOOKUP(N294,Merchant_Daily!$A:$B,2,FALSE),0)</f>
        <v>798</v>
      </c>
      <c r="P294" s="4" t="str">
        <f t="shared" si="3"/>
        <v>Standard Merchant Day</v>
      </c>
    </row>
    <row r="295">
      <c r="A295" s="1" t="s">
        <v>865</v>
      </c>
      <c r="B295" s="1">
        <v>204.0</v>
      </c>
      <c r="C295" s="1">
        <v>35.0</v>
      </c>
      <c r="D295" s="3">
        <v>46052.39722222222</v>
      </c>
      <c r="E295" s="1">
        <v>99.0</v>
      </c>
      <c r="F295" s="1" t="s">
        <v>26</v>
      </c>
      <c r="G295" s="1" t="s">
        <v>27</v>
      </c>
      <c r="H295" s="1">
        <v>60.0</v>
      </c>
      <c r="I295" s="4" t="str">
        <f>IFERROR(VLOOKUP(C295,Merchants!$A$2:$D$41,2,FALSE),"Merchant not found")</f>
        <v>Merchant_035</v>
      </c>
      <c r="J295" s="4" t="str">
        <f>IFERROR(VLOOKUP(C295,Merchants!$A$2:$D$41,3,FALSE),"Merchant not found")</f>
        <v>recharge</v>
      </c>
      <c r="K295" s="4" t="str">
        <f>IFERROR(VLOOKUP(C295,Merchants!$A$2:$D$41,4,FALSE),"Merchant not found")</f>
        <v>East</v>
      </c>
      <c r="L295" s="4">
        <f>IFERROR(HLOOKUP(F295,Fee_Lookup!$B$1:$E$2,2,FALSE),"Fee not found")</f>
        <v>0.005</v>
      </c>
      <c r="M295" s="5">
        <f t="shared" si="1"/>
        <v>46052</v>
      </c>
      <c r="N295" s="4" t="str">
        <f t="shared" si="2"/>
        <v>35|2026-01-30</v>
      </c>
      <c r="O295" s="4">
        <f>IFERROR(VLOOKUP(N295,Merchant_Daily!$A:$B,2,FALSE),0)</f>
        <v>99</v>
      </c>
      <c r="P295" s="4" t="str">
        <f t="shared" si="3"/>
        <v>Standard Merchant Day</v>
      </c>
    </row>
    <row r="296">
      <c r="A296" s="1" t="s">
        <v>866</v>
      </c>
      <c r="B296" s="1">
        <v>332.0</v>
      </c>
      <c r="C296" s="1">
        <v>13.0</v>
      </c>
      <c r="D296" s="3">
        <v>46031.075</v>
      </c>
      <c r="E296" s="1">
        <v>49.0</v>
      </c>
      <c r="F296" s="1" t="s">
        <v>46</v>
      </c>
      <c r="G296" s="1" t="s">
        <v>27</v>
      </c>
      <c r="H296" s="1">
        <v>36.0</v>
      </c>
      <c r="I296" s="4" t="str">
        <f>IFERROR(VLOOKUP(C296,Merchants!$A$2:$D$41,2,FALSE),"Merchant not found")</f>
        <v>Merchant_013</v>
      </c>
      <c r="J296" s="4" t="str">
        <f>IFERROR(VLOOKUP(C296,Merchants!$A$2:$D$41,3,FALSE),"Merchant not found")</f>
        <v>travel</v>
      </c>
      <c r="K296" s="4" t="str">
        <f>IFERROR(VLOOKUP(C296,Merchants!$A$2:$D$41,4,FALSE),"Merchant not found")</f>
        <v>East</v>
      </c>
      <c r="L296" s="4">
        <f>IFERROR(HLOOKUP(F296,Fee_Lookup!$B$1:$E$2,2,FALSE),"Fee not found")</f>
        <v>0.01</v>
      </c>
      <c r="M296" s="5">
        <f t="shared" si="1"/>
        <v>46031</v>
      </c>
      <c r="N296" s="4" t="str">
        <f t="shared" si="2"/>
        <v>13|2026-01-09</v>
      </c>
      <c r="O296" s="4">
        <f>IFERROR(VLOOKUP(N296,Merchant_Daily!$A:$B,2,FALSE),0)</f>
        <v>198</v>
      </c>
      <c r="P296" s="4" t="str">
        <f t="shared" si="3"/>
        <v>Standard Merchant Day</v>
      </c>
    </row>
    <row r="297">
      <c r="A297" s="1" t="s">
        <v>867</v>
      </c>
      <c r="B297" s="1">
        <v>336.0</v>
      </c>
      <c r="C297" s="1">
        <v>22.0</v>
      </c>
      <c r="D297" s="3">
        <v>46034.07986111111</v>
      </c>
      <c r="E297" s="1">
        <v>499.0</v>
      </c>
      <c r="F297" s="1" t="s">
        <v>35</v>
      </c>
      <c r="G297" s="1" t="s">
        <v>27</v>
      </c>
      <c r="H297" s="1">
        <v>34.0</v>
      </c>
      <c r="I297" s="4" t="str">
        <f>IFERROR(VLOOKUP(C297,Merchants!$A$2:$D$41,2,FALSE),"Merchant not found")</f>
        <v>Merchant_022</v>
      </c>
      <c r="J297" s="4" t="str">
        <f>IFERROR(VLOOKUP(C297,Merchants!$A$2:$D$41,3,FALSE),"Merchant not found")</f>
        <v>travel</v>
      </c>
      <c r="K297" s="4" t="str">
        <f>IFERROR(VLOOKUP(C297,Merchants!$A$2:$D$41,4,FALSE),"Merchant not found")</f>
        <v>South</v>
      </c>
      <c r="L297" s="4">
        <f>IFERROR(HLOOKUP(F297,Fee_Lookup!$B$1:$E$2,2,FALSE),"Fee not found")</f>
        <v>0</v>
      </c>
      <c r="M297" s="5">
        <f t="shared" si="1"/>
        <v>46034</v>
      </c>
      <c r="N297" s="4" t="str">
        <f t="shared" si="2"/>
        <v>22|2026-01-12</v>
      </c>
      <c r="O297" s="4">
        <f>IFERROR(VLOOKUP(N297,Merchant_Daily!$A:$B,2,FALSE),0)</f>
        <v>1697</v>
      </c>
      <c r="P297" s="4" t="str">
        <f t="shared" si="3"/>
        <v>Standard Merchant Day</v>
      </c>
    </row>
    <row r="298">
      <c r="A298" s="1" t="s">
        <v>868</v>
      </c>
      <c r="B298" s="1">
        <v>205.0</v>
      </c>
      <c r="C298" s="1">
        <v>29.0</v>
      </c>
      <c r="D298" s="3">
        <v>46026.47708333333</v>
      </c>
      <c r="E298" s="1">
        <v>99.0</v>
      </c>
      <c r="F298" s="1" t="s">
        <v>26</v>
      </c>
      <c r="G298" s="1" t="s">
        <v>27</v>
      </c>
      <c r="H298" s="1">
        <v>49.0</v>
      </c>
      <c r="I298" s="4" t="str">
        <f>IFERROR(VLOOKUP(C298,Merchants!$A$2:$D$41,2,FALSE),"Merchant not found")</f>
        <v>Merchant_029</v>
      </c>
      <c r="J298" s="4" t="str">
        <f>IFERROR(VLOOKUP(C298,Merchants!$A$2:$D$41,3,FALSE),"Merchant not found")</f>
        <v>ecommerce</v>
      </c>
      <c r="K298" s="4" t="str">
        <f>IFERROR(VLOOKUP(C298,Merchants!$A$2:$D$41,4,FALSE),"Merchant not found")</f>
        <v>North</v>
      </c>
      <c r="L298" s="4">
        <f>IFERROR(HLOOKUP(F298,Fee_Lookup!$B$1:$E$2,2,FALSE),"Fee not found")</f>
        <v>0.005</v>
      </c>
      <c r="M298" s="5">
        <f t="shared" si="1"/>
        <v>46026</v>
      </c>
      <c r="N298" s="4" t="str">
        <f t="shared" si="2"/>
        <v>29|2026-01-04</v>
      </c>
      <c r="O298" s="4">
        <f>IFERROR(VLOOKUP(N298,Merchant_Daily!$A:$B,2,FALSE),0)</f>
        <v>99</v>
      </c>
      <c r="P298" s="4" t="str">
        <f t="shared" si="3"/>
        <v>Standard Merchant Day</v>
      </c>
    </row>
    <row r="299">
      <c r="A299" s="1" t="s">
        <v>869</v>
      </c>
      <c r="B299" s="1">
        <v>255.0</v>
      </c>
      <c r="C299" s="1">
        <v>24.0</v>
      </c>
      <c r="D299" s="3">
        <v>46033.22986111111</v>
      </c>
      <c r="E299" s="1">
        <v>799.0</v>
      </c>
      <c r="F299" s="1" t="s">
        <v>35</v>
      </c>
      <c r="G299" s="1" t="s">
        <v>27</v>
      </c>
      <c r="H299" s="1">
        <v>66.0</v>
      </c>
      <c r="I299" s="4" t="str">
        <f>IFERROR(VLOOKUP(C299,Merchants!$A$2:$D$41,2,FALSE),"Merchant not found")</f>
        <v>Merchant_024</v>
      </c>
      <c r="J299" s="4" t="str">
        <f>IFERROR(VLOOKUP(C299,Merchants!$A$2:$D$41,3,FALSE),"Merchant not found")</f>
        <v>grocery</v>
      </c>
      <c r="K299" s="4" t="str">
        <f>IFERROR(VLOOKUP(C299,Merchants!$A$2:$D$41,4,FALSE),"Merchant not found")</f>
        <v>North</v>
      </c>
      <c r="L299" s="4">
        <f>IFERROR(HLOOKUP(F299,Fee_Lookup!$B$1:$E$2,2,FALSE),"Fee not found")</f>
        <v>0</v>
      </c>
      <c r="M299" s="5">
        <f t="shared" si="1"/>
        <v>46033</v>
      </c>
      <c r="N299" s="4" t="str">
        <f t="shared" si="2"/>
        <v>24|2026-01-11</v>
      </c>
      <c r="O299" s="4">
        <f>IFERROR(VLOOKUP(N299,Merchant_Daily!$A:$B,2,FALSE),0)</f>
        <v>799</v>
      </c>
      <c r="P299" s="4" t="str">
        <f t="shared" si="3"/>
        <v>Standard Merchant Day</v>
      </c>
    </row>
    <row r="300">
      <c r="A300" s="1" t="s">
        <v>870</v>
      </c>
      <c r="B300" s="1">
        <v>218.0</v>
      </c>
      <c r="C300" s="1">
        <v>6.0</v>
      </c>
      <c r="D300" s="3">
        <v>46031.115277777775</v>
      </c>
      <c r="E300" s="1">
        <v>99.0</v>
      </c>
      <c r="F300" s="1" t="s">
        <v>35</v>
      </c>
      <c r="G300" s="1" t="s">
        <v>27</v>
      </c>
      <c r="H300" s="1">
        <v>55.0</v>
      </c>
      <c r="I300" s="4" t="str">
        <f>IFERROR(VLOOKUP(C300,Merchants!$A$2:$D$41,2,FALSE),"Merchant not found")</f>
        <v>Merchant_006</v>
      </c>
      <c r="J300" s="4" t="str">
        <f>IFERROR(VLOOKUP(C300,Merchants!$A$2:$D$41,3,FALSE),"Merchant not found")</f>
        <v>food_delivery</v>
      </c>
      <c r="K300" s="4" t="str">
        <f>IFERROR(VLOOKUP(C300,Merchants!$A$2:$D$41,4,FALSE),"Merchant not found")</f>
        <v>South</v>
      </c>
      <c r="L300" s="4">
        <f>IFERROR(HLOOKUP(F300,Fee_Lookup!$B$1:$E$2,2,FALSE),"Fee not found")</f>
        <v>0</v>
      </c>
      <c r="M300" s="5">
        <f t="shared" si="1"/>
        <v>46031</v>
      </c>
      <c r="N300" s="4" t="str">
        <f t="shared" si="2"/>
        <v>6|2026-01-09</v>
      </c>
      <c r="O300" s="4">
        <f>IFERROR(VLOOKUP(N300,Merchant_Daily!$A:$B,2,FALSE),0)</f>
        <v>99</v>
      </c>
      <c r="P300" s="4" t="str">
        <f t="shared" si="3"/>
        <v>Standard Merchant Day</v>
      </c>
    </row>
    <row r="301">
      <c r="A301" s="1" t="s">
        <v>871</v>
      </c>
      <c r="B301" s="1">
        <v>151.0</v>
      </c>
      <c r="C301" s="1">
        <v>21.0</v>
      </c>
      <c r="D301" s="3">
        <v>46042.231944444444</v>
      </c>
      <c r="E301" s="1">
        <v>49.0</v>
      </c>
      <c r="F301" s="1" t="s">
        <v>35</v>
      </c>
      <c r="G301" s="1" t="s">
        <v>27</v>
      </c>
      <c r="H301" s="1">
        <v>13.0</v>
      </c>
      <c r="I301" s="4" t="str">
        <f>IFERROR(VLOOKUP(C301,Merchants!$A$2:$D$41,2,FALSE),"Merchant not found")</f>
        <v>Merchant_021</v>
      </c>
      <c r="J301" s="4" t="str">
        <f>IFERROR(VLOOKUP(C301,Merchants!$A$2:$D$41,3,FALSE),"Merchant not found")</f>
        <v>food_delivery</v>
      </c>
      <c r="K301" s="4" t="str">
        <f>IFERROR(VLOOKUP(C301,Merchants!$A$2:$D$41,4,FALSE),"Merchant not found")</f>
        <v>East</v>
      </c>
      <c r="L301" s="4">
        <f>IFERROR(HLOOKUP(F301,Fee_Lookup!$B$1:$E$2,2,FALSE),"Fee not found")</f>
        <v>0</v>
      </c>
      <c r="M301" s="5">
        <f t="shared" si="1"/>
        <v>46042</v>
      </c>
      <c r="N301" s="4" t="str">
        <f t="shared" si="2"/>
        <v>21|2026-01-20</v>
      </c>
      <c r="O301" s="4">
        <f>IFERROR(VLOOKUP(N301,Merchant_Daily!$A:$B,2,FALSE),0)</f>
        <v>49</v>
      </c>
      <c r="P301" s="4" t="str">
        <f t="shared" si="3"/>
        <v>Standard Merchant Day</v>
      </c>
    </row>
    <row r="302">
      <c r="A302" s="1" t="s">
        <v>872</v>
      </c>
      <c r="B302" s="1">
        <v>152.0</v>
      </c>
      <c r="C302" s="1">
        <v>20.0</v>
      </c>
      <c r="D302" s="3">
        <v>46025.44583333333</v>
      </c>
      <c r="E302" s="1">
        <v>49.0</v>
      </c>
      <c r="F302" s="1" t="s">
        <v>35</v>
      </c>
      <c r="G302" s="1" t="s">
        <v>27</v>
      </c>
      <c r="H302" s="1">
        <v>57.0</v>
      </c>
      <c r="I302" s="4" t="str">
        <f>IFERROR(VLOOKUP(C302,Merchants!$A$2:$D$41,2,FALSE),"Merchant not found")</f>
        <v>Merchant_020</v>
      </c>
      <c r="J302" s="4" t="str">
        <f>IFERROR(VLOOKUP(C302,Merchants!$A$2:$D$41,3,FALSE),"Merchant not found")</f>
        <v>food_delivery</v>
      </c>
      <c r="K302" s="4" t="str">
        <f>IFERROR(VLOOKUP(C302,Merchants!$A$2:$D$41,4,FALSE),"Merchant not found")</f>
        <v>East</v>
      </c>
      <c r="L302" s="4">
        <f>IFERROR(HLOOKUP(F302,Fee_Lookup!$B$1:$E$2,2,FALSE),"Fee not found")</f>
        <v>0</v>
      </c>
      <c r="M302" s="5">
        <f t="shared" si="1"/>
        <v>46025</v>
      </c>
      <c r="N302" s="4" t="str">
        <f t="shared" si="2"/>
        <v>20|2026-01-03</v>
      </c>
      <c r="O302" s="4">
        <f>IFERROR(VLOOKUP(N302,Merchant_Daily!$A:$B,2,FALSE),0)</f>
        <v>348</v>
      </c>
      <c r="P302" s="4" t="str">
        <f t="shared" si="3"/>
        <v>Standard Merchant Day</v>
      </c>
    </row>
    <row r="303">
      <c r="A303" s="1" t="s">
        <v>873</v>
      </c>
      <c r="B303" s="1">
        <v>86.0</v>
      </c>
      <c r="C303" s="1">
        <v>29.0</v>
      </c>
      <c r="D303" s="3">
        <v>46042.93541666667</v>
      </c>
      <c r="E303" s="1">
        <v>149.0</v>
      </c>
      <c r="F303" s="1" t="s">
        <v>46</v>
      </c>
      <c r="G303" s="1" t="s">
        <v>27</v>
      </c>
      <c r="H303" s="1">
        <v>44.0</v>
      </c>
      <c r="I303" s="4" t="str">
        <f>IFERROR(VLOOKUP(C303,Merchants!$A$2:$D$41,2,FALSE),"Merchant not found")</f>
        <v>Merchant_029</v>
      </c>
      <c r="J303" s="4" t="str">
        <f>IFERROR(VLOOKUP(C303,Merchants!$A$2:$D$41,3,FALSE),"Merchant not found")</f>
        <v>ecommerce</v>
      </c>
      <c r="K303" s="4" t="str">
        <f>IFERROR(VLOOKUP(C303,Merchants!$A$2:$D$41,4,FALSE),"Merchant not found")</f>
        <v>North</v>
      </c>
      <c r="L303" s="4">
        <f>IFERROR(HLOOKUP(F303,Fee_Lookup!$B$1:$E$2,2,FALSE),"Fee not found")</f>
        <v>0.01</v>
      </c>
      <c r="M303" s="5">
        <f t="shared" si="1"/>
        <v>46042</v>
      </c>
      <c r="N303" s="4" t="str">
        <f t="shared" si="2"/>
        <v>29|2026-01-20</v>
      </c>
      <c r="O303" s="4">
        <f>IFERROR(VLOOKUP(N303,Merchant_Daily!$A:$B,2,FALSE),0)</f>
        <v>149</v>
      </c>
      <c r="P303" s="4" t="str">
        <f t="shared" si="3"/>
        <v>Standard Merchant Day</v>
      </c>
    </row>
    <row r="304">
      <c r="A304" s="1" t="s">
        <v>874</v>
      </c>
      <c r="B304" s="1">
        <v>181.0</v>
      </c>
      <c r="C304" s="1">
        <v>40.0</v>
      </c>
      <c r="D304" s="3">
        <v>46037.07361111111</v>
      </c>
      <c r="E304" s="1">
        <v>149.0</v>
      </c>
      <c r="F304" s="1" t="s">
        <v>35</v>
      </c>
      <c r="G304" s="1" t="s">
        <v>27</v>
      </c>
      <c r="H304" s="1">
        <v>55.0</v>
      </c>
      <c r="I304" s="4" t="str">
        <f>IFERROR(VLOOKUP(C304,Merchants!$A$2:$D$41,2,FALSE),"Merchant not found")</f>
        <v>Merchant_040</v>
      </c>
      <c r="J304" s="4" t="str">
        <f>IFERROR(VLOOKUP(C304,Merchants!$A$2:$D$41,3,FALSE),"Merchant not found")</f>
        <v>entertainment</v>
      </c>
      <c r="K304" s="4" t="str">
        <f>IFERROR(VLOOKUP(C304,Merchants!$A$2:$D$41,4,FALSE),"Merchant not found")</f>
        <v>South</v>
      </c>
      <c r="L304" s="4">
        <f>IFERROR(HLOOKUP(F304,Fee_Lookup!$B$1:$E$2,2,FALSE),"Fee not found")</f>
        <v>0</v>
      </c>
      <c r="M304" s="5">
        <f t="shared" si="1"/>
        <v>46037</v>
      </c>
      <c r="N304" s="4" t="str">
        <f t="shared" si="2"/>
        <v>40|2026-01-15</v>
      </c>
      <c r="O304" s="4">
        <f>IFERROR(VLOOKUP(N304,Merchant_Daily!$A:$B,2,FALSE),0)</f>
        <v>149</v>
      </c>
      <c r="P304" s="4" t="str">
        <f t="shared" si="3"/>
        <v>Standard Merchant Day</v>
      </c>
    </row>
    <row r="305">
      <c r="A305" s="1" t="s">
        <v>875</v>
      </c>
      <c r="B305" s="1">
        <v>30.0</v>
      </c>
      <c r="C305" s="1">
        <v>5.0</v>
      </c>
      <c r="D305" s="3">
        <v>46031.868055555555</v>
      </c>
      <c r="E305" s="1">
        <v>299.0</v>
      </c>
      <c r="F305" s="1" t="s">
        <v>35</v>
      </c>
      <c r="G305" s="1" t="s">
        <v>27</v>
      </c>
      <c r="H305" s="1">
        <v>85.0</v>
      </c>
      <c r="I305" s="4" t="str">
        <f>IFERROR(VLOOKUP(C305,Merchants!$A$2:$D$41,2,FALSE),"Merchant not found")</f>
        <v>Merchant_005</v>
      </c>
      <c r="J305" s="4" t="str">
        <f>IFERROR(VLOOKUP(C305,Merchants!$A$2:$D$41,3,FALSE),"Merchant not found")</f>
        <v>recharge</v>
      </c>
      <c r="K305" s="4" t="str">
        <f>IFERROR(VLOOKUP(C305,Merchants!$A$2:$D$41,4,FALSE),"Merchant not found")</f>
        <v>South</v>
      </c>
      <c r="L305" s="4">
        <f>IFERROR(HLOOKUP(F305,Fee_Lookup!$B$1:$E$2,2,FALSE),"Fee not found")</f>
        <v>0</v>
      </c>
      <c r="M305" s="5">
        <f t="shared" si="1"/>
        <v>46031</v>
      </c>
      <c r="N305" s="4" t="str">
        <f t="shared" si="2"/>
        <v>5|2026-01-09</v>
      </c>
      <c r="O305" s="4">
        <f>IFERROR(VLOOKUP(N305,Merchant_Daily!$A:$B,2,FALSE),0)</f>
        <v>348</v>
      </c>
      <c r="P305" s="4" t="str">
        <f t="shared" si="3"/>
        <v>Standard Merchant Day</v>
      </c>
    </row>
    <row r="306">
      <c r="A306" s="1" t="s">
        <v>876</v>
      </c>
      <c r="B306" s="1">
        <v>263.0</v>
      </c>
      <c r="C306" s="1">
        <v>11.0</v>
      </c>
      <c r="D306" s="3">
        <v>46043.51597222222</v>
      </c>
      <c r="E306" s="1">
        <v>149.0</v>
      </c>
      <c r="F306" s="1" t="s">
        <v>26</v>
      </c>
      <c r="G306" s="1" t="s">
        <v>27</v>
      </c>
      <c r="H306" s="1">
        <v>3.0</v>
      </c>
      <c r="I306" s="4" t="str">
        <f>IFERROR(VLOOKUP(C306,Merchants!$A$2:$D$41,2,FALSE),"Merchant not found")</f>
        <v>Merchant_011</v>
      </c>
      <c r="J306" s="4" t="str">
        <f>IFERROR(VLOOKUP(C306,Merchants!$A$2:$D$41,3,FALSE),"Merchant not found")</f>
        <v>ecommerce</v>
      </c>
      <c r="K306" s="4" t="str">
        <f>IFERROR(VLOOKUP(C306,Merchants!$A$2:$D$41,4,FALSE),"Merchant not found")</f>
        <v>North</v>
      </c>
      <c r="L306" s="4">
        <f>IFERROR(HLOOKUP(F306,Fee_Lookup!$B$1:$E$2,2,FALSE),"Fee not found")</f>
        <v>0.005</v>
      </c>
      <c r="M306" s="5">
        <f t="shared" si="1"/>
        <v>46043</v>
      </c>
      <c r="N306" s="4" t="str">
        <f t="shared" si="2"/>
        <v>11|2026-01-21</v>
      </c>
      <c r="O306" s="4">
        <f>IFERROR(VLOOKUP(N306,Merchant_Daily!$A:$B,2,FALSE),0)</f>
        <v>149</v>
      </c>
      <c r="P306" s="4" t="str">
        <f t="shared" si="3"/>
        <v>Standard Merchant Day</v>
      </c>
    </row>
    <row r="307">
      <c r="A307" s="1" t="s">
        <v>877</v>
      </c>
      <c r="B307" s="1">
        <v>225.0</v>
      </c>
      <c r="C307" s="1">
        <v>3.0</v>
      </c>
      <c r="D307" s="3">
        <v>46027.82152777778</v>
      </c>
      <c r="E307" s="1">
        <v>99.0</v>
      </c>
      <c r="F307" s="1" t="s">
        <v>47</v>
      </c>
      <c r="G307" s="1" t="s">
        <v>27</v>
      </c>
      <c r="H307" s="1">
        <v>16.0</v>
      </c>
      <c r="I307" s="4" t="str">
        <f>IFERROR(VLOOKUP(C307,Merchants!$A$2:$D$41,2,FALSE),"Merchant not found")</f>
        <v>Merchant_003</v>
      </c>
      <c r="J307" s="4" t="str">
        <f>IFERROR(VLOOKUP(C307,Merchants!$A$2:$D$41,3,FALSE),"Merchant not found")</f>
        <v>grocery</v>
      </c>
      <c r="K307" s="4" t="str">
        <f>IFERROR(VLOOKUP(C307,Merchants!$A$2:$D$41,4,FALSE),"Merchant not found")</f>
        <v>East</v>
      </c>
      <c r="L307" s="4">
        <f>IFERROR(HLOOKUP(F307,Fee_Lookup!$B$1:$E$2,2,FALSE),"Fee not found")</f>
        <v>0.015</v>
      </c>
      <c r="M307" s="5">
        <f t="shared" si="1"/>
        <v>46027</v>
      </c>
      <c r="N307" s="4" t="str">
        <f t="shared" si="2"/>
        <v>3|2026-01-05</v>
      </c>
      <c r="O307" s="4">
        <f>IFERROR(VLOOKUP(N307,Merchant_Daily!$A:$B,2,FALSE),0)</f>
        <v>99</v>
      </c>
      <c r="P307" s="4" t="str">
        <f t="shared" si="3"/>
        <v>Standard Merchant Day</v>
      </c>
    </row>
    <row r="308">
      <c r="A308" s="1" t="s">
        <v>878</v>
      </c>
      <c r="B308" s="1">
        <v>331.0</v>
      </c>
      <c r="C308" s="1">
        <v>24.0</v>
      </c>
      <c r="D308" s="3">
        <v>46025.325694444444</v>
      </c>
      <c r="E308" s="1">
        <v>49.0</v>
      </c>
      <c r="F308" s="1" t="s">
        <v>46</v>
      </c>
      <c r="G308" s="1" t="s">
        <v>27</v>
      </c>
      <c r="H308" s="1">
        <v>46.0</v>
      </c>
      <c r="I308" s="4" t="str">
        <f>IFERROR(VLOOKUP(C308,Merchants!$A$2:$D$41,2,FALSE),"Merchant not found")</f>
        <v>Merchant_024</v>
      </c>
      <c r="J308" s="4" t="str">
        <f>IFERROR(VLOOKUP(C308,Merchants!$A$2:$D$41,3,FALSE),"Merchant not found")</f>
        <v>grocery</v>
      </c>
      <c r="K308" s="4" t="str">
        <f>IFERROR(VLOOKUP(C308,Merchants!$A$2:$D$41,4,FALSE),"Merchant not found")</f>
        <v>North</v>
      </c>
      <c r="L308" s="4">
        <f>IFERROR(HLOOKUP(F308,Fee_Lookup!$B$1:$E$2,2,FALSE),"Fee not found")</f>
        <v>0.01</v>
      </c>
      <c r="M308" s="5">
        <f t="shared" si="1"/>
        <v>46025</v>
      </c>
      <c r="N308" s="4" t="str">
        <f t="shared" si="2"/>
        <v>24|2026-01-03</v>
      </c>
      <c r="O308" s="4">
        <f>IFERROR(VLOOKUP(N308,Merchant_Daily!$A:$B,2,FALSE),0)</f>
        <v>49</v>
      </c>
      <c r="P308" s="4" t="str">
        <f t="shared" si="3"/>
        <v>Standard Merchant Day</v>
      </c>
    </row>
    <row r="309">
      <c r="A309" s="1" t="s">
        <v>879</v>
      </c>
      <c r="B309" s="1">
        <v>310.0</v>
      </c>
      <c r="C309" s="1">
        <v>10.0</v>
      </c>
      <c r="D309" s="3">
        <v>46035.751388888886</v>
      </c>
      <c r="E309" s="1">
        <v>1499.0</v>
      </c>
      <c r="F309" s="1" t="s">
        <v>46</v>
      </c>
      <c r="G309" s="1" t="s">
        <v>27</v>
      </c>
      <c r="H309" s="1">
        <v>86.0</v>
      </c>
      <c r="I309" s="4" t="str">
        <f>IFERROR(VLOOKUP(C309,Merchants!$A$2:$D$41,2,FALSE),"Merchant not found")</f>
        <v>Merchant_010</v>
      </c>
      <c r="J309" s="4" t="str">
        <f>IFERROR(VLOOKUP(C309,Merchants!$A$2:$D$41,3,FALSE),"Merchant not found")</f>
        <v>grocery</v>
      </c>
      <c r="K309" s="4" t="str">
        <f>IFERROR(VLOOKUP(C309,Merchants!$A$2:$D$41,4,FALSE),"Merchant not found")</f>
        <v>West</v>
      </c>
      <c r="L309" s="4">
        <f>IFERROR(HLOOKUP(F309,Fee_Lookup!$B$1:$E$2,2,FALSE),"Fee not found")</f>
        <v>0.01</v>
      </c>
      <c r="M309" s="5">
        <f t="shared" si="1"/>
        <v>46035</v>
      </c>
      <c r="N309" s="4" t="str">
        <f t="shared" si="2"/>
        <v>10|2026-01-13</v>
      </c>
      <c r="O309" s="4">
        <f>IFERROR(VLOOKUP(N309,Merchant_Daily!$A:$B,2,FALSE),0)</f>
        <v>1499</v>
      </c>
      <c r="P309" s="4" t="str">
        <f t="shared" si="3"/>
        <v>Standard Merchant Day</v>
      </c>
    </row>
    <row r="310">
      <c r="A310" s="1" t="s">
        <v>880</v>
      </c>
      <c r="B310" s="1">
        <v>228.0</v>
      </c>
      <c r="C310" s="1">
        <v>5.0</v>
      </c>
      <c r="D310" s="3">
        <v>46037.47430555556</v>
      </c>
      <c r="E310" s="1">
        <v>49.0</v>
      </c>
      <c r="F310" s="1" t="s">
        <v>35</v>
      </c>
      <c r="G310" s="1" t="s">
        <v>27</v>
      </c>
      <c r="H310" s="1">
        <v>73.0</v>
      </c>
      <c r="I310" s="4" t="str">
        <f>IFERROR(VLOOKUP(C310,Merchants!$A$2:$D$41,2,FALSE),"Merchant not found")</f>
        <v>Merchant_005</v>
      </c>
      <c r="J310" s="4" t="str">
        <f>IFERROR(VLOOKUP(C310,Merchants!$A$2:$D$41,3,FALSE),"Merchant not found")</f>
        <v>recharge</v>
      </c>
      <c r="K310" s="4" t="str">
        <f>IFERROR(VLOOKUP(C310,Merchants!$A$2:$D$41,4,FALSE),"Merchant not found")</f>
        <v>South</v>
      </c>
      <c r="L310" s="4">
        <f>IFERROR(HLOOKUP(F310,Fee_Lookup!$B$1:$E$2,2,FALSE),"Fee not found")</f>
        <v>0</v>
      </c>
      <c r="M310" s="5">
        <f t="shared" si="1"/>
        <v>46037</v>
      </c>
      <c r="N310" s="4" t="str">
        <f t="shared" si="2"/>
        <v>5|2026-01-15</v>
      </c>
      <c r="O310" s="4">
        <f>IFERROR(VLOOKUP(N310,Merchant_Daily!$A:$B,2,FALSE),0)</f>
        <v>548</v>
      </c>
      <c r="P310" s="4" t="str">
        <f t="shared" si="3"/>
        <v>Standard Merchant Day</v>
      </c>
    </row>
    <row r="311">
      <c r="A311" s="1" t="s">
        <v>881</v>
      </c>
      <c r="B311" s="1">
        <v>204.0</v>
      </c>
      <c r="C311" s="1">
        <v>21.0</v>
      </c>
      <c r="D311" s="3">
        <v>46027.68263888889</v>
      </c>
      <c r="E311" s="1">
        <v>499.0</v>
      </c>
      <c r="F311" s="1" t="s">
        <v>35</v>
      </c>
      <c r="G311" s="1" t="s">
        <v>27</v>
      </c>
      <c r="H311" s="1">
        <v>83.0</v>
      </c>
      <c r="I311" s="4" t="str">
        <f>IFERROR(VLOOKUP(C311,Merchants!$A$2:$D$41,2,FALSE),"Merchant not found")</f>
        <v>Merchant_021</v>
      </c>
      <c r="J311" s="4" t="str">
        <f>IFERROR(VLOOKUP(C311,Merchants!$A$2:$D$41,3,FALSE),"Merchant not found")</f>
        <v>food_delivery</v>
      </c>
      <c r="K311" s="4" t="str">
        <f>IFERROR(VLOOKUP(C311,Merchants!$A$2:$D$41,4,FALSE),"Merchant not found")</f>
        <v>East</v>
      </c>
      <c r="L311" s="4">
        <f>IFERROR(HLOOKUP(F311,Fee_Lookup!$B$1:$E$2,2,FALSE),"Fee not found")</f>
        <v>0</v>
      </c>
      <c r="M311" s="5">
        <f t="shared" si="1"/>
        <v>46027</v>
      </c>
      <c r="N311" s="4" t="str">
        <f t="shared" si="2"/>
        <v>21|2026-01-05</v>
      </c>
      <c r="O311" s="4">
        <f>IFERROR(VLOOKUP(N311,Merchant_Daily!$A:$B,2,FALSE),0)</f>
        <v>499</v>
      </c>
      <c r="P311" s="4" t="str">
        <f t="shared" si="3"/>
        <v>Standard Merchant Day</v>
      </c>
    </row>
    <row r="312">
      <c r="A312" s="1" t="s">
        <v>882</v>
      </c>
      <c r="B312" s="1">
        <v>14.0</v>
      </c>
      <c r="C312" s="1">
        <v>12.0</v>
      </c>
      <c r="D312" s="3">
        <v>46031.29652777778</v>
      </c>
      <c r="E312" s="1">
        <v>799.0</v>
      </c>
      <c r="F312" s="1" t="s">
        <v>47</v>
      </c>
      <c r="G312" s="1" t="s">
        <v>27</v>
      </c>
      <c r="H312" s="1">
        <v>63.0</v>
      </c>
      <c r="I312" s="4" t="str">
        <f>IFERROR(VLOOKUP(C312,Merchants!$A$2:$D$41,2,FALSE),"Merchant not found")</f>
        <v>Merchant_012</v>
      </c>
      <c r="J312" s="4" t="str">
        <f>IFERROR(VLOOKUP(C312,Merchants!$A$2:$D$41,3,FALSE),"Merchant not found")</f>
        <v>ecommerce</v>
      </c>
      <c r="K312" s="4" t="str">
        <f>IFERROR(VLOOKUP(C312,Merchants!$A$2:$D$41,4,FALSE),"Merchant not found")</f>
        <v>East</v>
      </c>
      <c r="L312" s="4">
        <f>IFERROR(HLOOKUP(F312,Fee_Lookup!$B$1:$E$2,2,FALSE),"Fee not found")</f>
        <v>0.015</v>
      </c>
      <c r="M312" s="5">
        <f t="shared" si="1"/>
        <v>46031</v>
      </c>
      <c r="N312" s="4" t="str">
        <f t="shared" si="2"/>
        <v>12|2026-01-09</v>
      </c>
      <c r="O312" s="4">
        <f>IFERROR(VLOOKUP(N312,Merchant_Daily!$A:$B,2,FALSE),0)</f>
        <v>799</v>
      </c>
      <c r="P312" s="4" t="str">
        <f t="shared" si="3"/>
        <v>Standard Merchant Day</v>
      </c>
    </row>
    <row r="313">
      <c r="A313" s="1" t="s">
        <v>883</v>
      </c>
      <c r="B313" s="1">
        <v>288.0</v>
      </c>
      <c r="C313" s="1">
        <v>8.0</v>
      </c>
      <c r="D313" s="3">
        <v>46039.54027777778</v>
      </c>
      <c r="E313" s="1">
        <v>49.0</v>
      </c>
      <c r="F313" s="1" t="s">
        <v>35</v>
      </c>
      <c r="G313" s="1" t="s">
        <v>27</v>
      </c>
      <c r="H313" s="1">
        <v>33.0</v>
      </c>
      <c r="I313" s="4" t="str">
        <f>IFERROR(VLOOKUP(C313,Merchants!$A$2:$D$41,2,FALSE),"Merchant not found")</f>
        <v>Merchant_008</v>
      </c>
      <c r="J313" s="4" t="str">
        <f>IFERROR(VLOOKUP(C313,Merchants!$A$2:$D$41,3,FALSE),"Merchant not found")</f>
        <v>food_delivery</v>
      </c>
      <c r="K313" s="4" t="str">
        <f>IFERROR(VLOOKUP(C313,Merchants!$A$2:$D$41,4,FALSE),"Merchant not found")</f>
        <v>North</v>
      </c>
      <c r="L313" s="4">
        <f>IFERROR(HLOOKUP(F313,Fee_Lookup!$B$1:$E$2,2,FALSE),"Fee not found")</f>
        <v>0</v>
      </c>
      <c r="M313" s="5">
        <f t="shared" si="1"/>
        <v>46039</v>
      </c>
      <c r="N313" s="4" t="str">
        <f t="shared" si="2"/>
        <v>8|2026-01-17</v>
      </c>
      <c r="O313" s="4">
        <f>IFERROR(VLOOKUP(N313,Merchant_Daily!$A:$B,2,FALSE),0)</f>
        <v>348</v>
      </c>
      <c r="P313" s="4" t="str">
        <f t="shared" si="3"/>
        <v>Standard Merchant Day</v>
      </c>
    </row>
    <row r="314">
      <c r="A314" s="1" t="s">
        <v>884</v>
      </c>
      <c r="B314" s="1">
        <v>229.0</v>
      </c>
      <c r="C314" s="1">
        <v>14.0</v>
      </c>
      <c r="D314" s="3">
        <v>46047.364583333336</v>
      </c>
      <c r="E314" s="1">
        <v>1499.0</v>
      </c>
      <c r="F314" s="1" t="s">
        <v>35</v>
      </c>
      <c r="G314" s="1" t="s">
        <v>27</v>
      </c>
      <c r="H314" s="1">
        <v>78.0</v>
      </c>
      <c r="I314" s="4" t="str">
        <f>IFERROR(VLOOKUP(C314,Merchants!$A$2:$D$41,2,FALSE),"Merchant not found")</f>
        <v>Merchant_014</v>
      </c>
      <c r="J314" s="4" t="str">
        <f>IFERROR(VLOOKUP(C314,Merchants!$A$2:$D$41,3,FALSE),"Merchant not found")</f>
        <v>grocery</v>
      </c>
      <c r="K314" s="4" t="str">
        <f>IFERROR(VLOOKUP(C314,Merchants!$A$2:$D$41,4,FALSE),"Merchant not found")</f>
        <v>East</v>
      </c>
      <c r="L314" s="4">
        <f>IFERROR(HLOOKUP(F314,Fee_Lookup!$B$1:$E$2,2,FALSE),"Fee not found")</f>
        <v>0</v>
      </c>
      <c r="M314" s="5">
        <f t="shared" si="1"/>
        <v>46047</v>
      </c>
      <c r="N314" s="4" t="str">
        <f t="shared" si="2"/>
        <v>14|2026-01-25</v>
      </c>
      <c r="O314" s="4">
        <f>IFERROR(VLOOKUP(N314,Merchant_Daily!$A:$B,2,FALSE),0)</f>
        <v>1598</v>
      </c>
      <c r="P314" s="4" t="str">
        <f t="shared" si="3"/>
        <v>Standard Merchant Day</v>
      </c>
    </row>
    <row r="315">
      <c r="A315" s="1" t="s">
        <v>885</v>
      </c>
      <c r="B315" s="1">
        <v>252.0</v>
      </c>
      <c r="C315" s="1">
        <v>13.0</v>
      </c>
      <c r="D315" s="3">
        <v>46032.95694444444</v>
      </c>
      <c r="E315" s="1">
        <v>99.0</v>
      </c>
      <c r="F315" s="1" t="s">
        <v>26</v>
      </c>
      <c r="G315" s="1" t="s">
        <v>27</v>
      </c>
      <c r="H315" s="1">
        <v>15.0</v>
      </c>
      <c r="I315" s="4" t="str">
        <f>IFERROR(VLOOKUP(C315,Merchants!$A$2:$D$41,2,FALSE),"Merchant not found")</f>
        <v>Merchant_013</v>
      </c>
      <c r="J315" s="4" t="str">
        <f>IFERROR(VLOOKUP(C315,Merchants!$A$2:$D$41,3,FALSE),"Merchant not found")</f>
        <v>travel</v>
      </c>
      <c r="K315" s="4" t="str">
        <f>IFERROR(VLOOKUP(C315,Merchants!$A$2:$D$41,4,FALSE),"Merchant not found")</f>
        <v>East</v>
      </c>
      <c r="L315" s="4">
        <f>IFERROR(HLOOKUP(F315,Fee_Lookup!$B$1:$E$2,2,FALSE),"Fee not found")</f>
        <v>0.005</v>
      </c>
      <c r="M315" s="5">
        <f t="shared" si="1"/>
        <v>46032</v>
      </c>
      <c r="N315" s="4" t="str">
        <f t="shared" si="2"/>
        <v>13|2026-01-10</v>
      </c>
      <c r="O315" s="4">
        <f>IFERROR(VLOOKUP(N315,Merchant_Daily!$A:$B,2,FALSE),0)</f>
        <v>99</v>
      </c>
      <c r="P315" s="4" t="str">
        <f t="shared" si="3"/>
        <v>Standard Merchant Day</v>
      </c>
    </row>
    <row r="316">
      <c r="A316" s="1" t="s">
        <v>886</v>
      </c>
      <c r="B316" s="1">
        <v>89.0</v>
      </c>
      <c r="C316" s="1">
        <v>29.0</v>
      </c>
      <c r="D316" s="3">
        <v>46027.10277777778</v>
      </c>
      <c r="E316" s="1">
        <v>799.0</v>
      </c>
      <c r="F316" s="1" t="s">
        <v>35</v>
      </c>
      <c r="G316" s="1" t="s">
        <v>27</v>
      </c>
      <c r="H316" s="1">
        <v>11.0</v>
      </c>
      <c r="I316" s="4" t="str">
        <f>IFERROR(VLOOKUP(C316,Merchants!$A$2:$D$41,2,FALSE),"Merchant not found")</f>
        <v>Merchant_029</v>
      </c>
      <c r="J316" s="4" t="str">
        <f>IFERROR(VLOOKUP(C316,Merchants!$A$2:$D$41,3,FALSE),"Merchant not found")</f>
        <v>ecommerce</v>
      </c>
      <c r="K316" s="4" t="str">
        <f>IFERROR(VLOOKUP(C316,Merchants!$A$2:$D$41,4,FALSE),"Merchant not found")</f>
        <v>North</v>
      </c>
      <c r="L316" s="4">
        <f>IFERROR(HLOOKUP(F316,Fee_Lookup!$B$1:$E$2,2,FALSE),"Fee not found")</f>
        <v>0</v>
      </c>
      <c r="M316" s="5">
        <f t="shared" si="1"/>
        <v>46027</v>
      </c>
      <c r="N316" s="4" t="str">
        <f t="shared" si="2"/>
        <v>29|2026-01-05</v>
      </c>
      <c r="O316" s="4">
        <f>IFERROR(VLOOKUP(N316,Merchant_Daily!$A:$B,2,FALSE),0)</f>
        <v>799</v>
      </c>
      <c r="P316" s="4" t="str">
        <f t="shared" si="3"/>
        <v>Standard Merchant Day</v>
      </c>
    </row>
    <row r="317">
      <c r="A317" s="1" t="s">
        <v>887</v>
      </c>
      <c r="B317" s="1">
        <v>164.0</v>
      </c>
      <c r="C317" s="1">
        <v>23.0</v>
      </c>
      <c r="D317" s="3">
        <v>46048.9125</v>
      </c>
      <c r="E317" s="1">
        <v>49.0</v>
      </c>
      <c r="F317" s="1" t="s">
        <v>47</v>
      </c>
      <c r="G317" s="1" t="s">
        <v>27</v>
      </c>
      <c r="H317" s="1">
        <v>90.0</v>
      </c>
      <c r="I317" s="4" t="str">
        <f>IFERROR(VLOOKUP(C317,Merchants!$A$2:$D$41,2,FALSE),"Merchant not found")</f>
        <v>Merchant_023</v>
      </c>
      <c r="J317" s="4" t="str">
        <f>IFERROR(VLOOKUP(C317,Merchants!$A$2:$D$41,3,FALSE),"Merchant not found")</f>
        <v>travel</v>
      </c>
      <c r="K317" s="4" t="str">
        <f>IFERROR(VLOOKUP(C317,Merchants!$A$2:$D$41,4,FALSE),"Merchant not found")</f>
        <v>North</v>
      </c>
      <c r="L317" s="4">
        <f>IFERROR(HLOOKUP(F317,Fee_Lookup!$B$1:$E$2,2,FALSE),"Fee not found")</f>
        <v>0.015</v>
      </c>
      <c r="M317" s="5">
        <f t="shared" si="1"/>
        <v>46048</v>
      </c>
      <c r="N317" s="4" t="str">
        <f t="shared" si="2"/>
        <v>23|2026-01-26</v>
      </c>
      <c r="O317" s="4">
        <f>IFERROR(VLOOKUP(N317,Merchant_Daily!$A:$B,2,FALSE),0)</f>
        <v>49</v>
      </c>
      <c r="P317" s="4" t="str">
        <f t="shared" si="3"/>
        <v>Standard Merchant Day</v>
      </c>
    </row>
    <row r="318">
      <c r="A318" s="1" t="s">
        <v>888</v>
      </c>
      <c r="B318" s="1">
        <v>149.0</v>
      </c>
      <c r="C318" s="1">
        <v>20.0</v>
      </c>
      <c r="D318" s="3">
        <v>46025.731944444444</v>
      </c>
      <c r="E318" s="1">
        <v>299.0</v>
      </c>
      <c r="F318" s="1" t="s">
        <v>26</v>
      </c>
      <c r="G318" s="1" t="s">
        <v>27</v>
      </c>
      <c r="H318" s="1">
        <v>20.0</v>
      </c>
      <c r="I318" s="4" t="str">
        <f>IFERROR(VLOOKUP(C318,Merchants!$A$2:$D$41,2,FALSE),"Merchant not found")</f>
        <v>Merchant_020</v>
      </c>
      <c r="J318" s="4" t="str">
        <f>IFERROR(VLOOKUP(C318,Merchants!$A$2:$D$41,3,FALSE),"Merchant not found")</f>
        <v>food_delivery</v>
      </c>
      <c r="K318" s="4" t="str">
        <f>IFERROR(VLOOKUP(C318,Merchants!$A$2:$D$41,4,FALSE),"Merchant not found")</f>
        <v>East</v>
      </c>
      <c r="L318" s="4">
        <f>IFERROR(HLOOKUP(F318,Fee_Lookup!$B$1:$E$2,2,FALSE),"Fee not found")</f>
        <v>0.005</v>
      </c>
      <c r="M318" s="5">
        <f t="shared" si="1"/>
        <v>46025</v>
      </c>
      <c r="N318" s="4" t="str">
        <f t="shared" si="2"/>
        <v>20|2026-01-03</v>
      </c>
      <c r="O318" s="4">
        <f>IFERROR(VLOOKUP(N318,Merchant_Daily!$A:$B,2,FALSE),0)</f>
        <v>348</v>
      </c>
      <c r="P318" s="4" t="str">
        <f t="shared" si="3"/>
        <v>Standard Merchant Day</v>
      </c>
    </row>
    <row r="319">
      <c r="A319" s="1" t="s">
        <v>889</v>
      </c>
      <c r="B319" s="1">
        <v>327.0</v>
      </c>
      <c r="C319" s="1">
        <v>12.0</v>
      </c>
      <c r="D319" s="3">
        <v>46045.95763888889</v>
      </c>
      <c r="E319" s="1">
        <v>49.0</v>
      </c>
      <c r="F319" s="1" t="s">
        <v>47</v>
      </c>
      <c r="G319" s="1" t="s">
        <v>27</v>
      </c>
      <c r="H319" s="1">
        <v>46.0</v>
      </c>
      <c r="I319" s="4" t="str">
        <f>IFERROR(VLOOKUP(C319,Merchants!$A$2:$D$41,2,FALSE),"Merchant not found")</f>
        <v>Merchant_012</v>
      </c>
      <c r="J319" s="4" t="str">
        <f>IFERROR(VLOOKUP(C319,Merchants!$A$2:$D$41,3,FALSE),"Merchant not found")</f>
        <v>ecommerce</v>
      </c>
      <c r="K319" s="4" t="str">
        <f>IFERROR(VLOOKUP(C319,Merchants!$A$2:$D$41,4,FALSE),"Merchant not found")</f>
        <v>East</v>
      </c>
      <c r="L319" s="4">
        <f>IFERROR(HLOOKUP(F319,Fee_Lookup!$B$1:$E$2,2,FALSE),"Fee not found")</f>
        <v>0.015</v>
      </c>
      <c r="M319" s="5">
        <f t="shared" si="1"/>
        <v>46045</v>
      </c>
      <c r="N319" s="4" t="str">
        <f t="shared" si="2"/>
        <v>12|2026-01-23</v>
      </c>
      <c r="O319" s="4">
        <f>IFERROR(VLOOKUP(N319,Merchant_Daily!$A:$B,2,FALSE),0)</f>
        <v>448</v>
      </c>
      <c r="P319" s="4" t="str">
        <f t="shared" si="3"/>
        <v>Standard Merchant Day</v>
      </c>
    </row>
    <row r="320">
      <c r="A320" s="1" t="s">
        <v>890</v>
      </c>
      <c r="B320" s="1">
        <v>103.0</v>
      </c>
      <c r="C320" s="1">
        <v>9.0</v>
      </c>
      <c r="D320" s="3">
        <v>46039.29652777778</v>
      </c>
      <c r="E320" s="1">
        <v>149.0</v>
      </c>
      <c r="F320" s="1" t="s">
        <v>35</v>
      </c>
      <c r="G320" s="1" t="s">
        <v>27</v>
      </c>
      <c r="H320" s="1">
        <v>30.0</v>
      </c>
      <c r="I320" s="4" t="str">
        <f>IFERROR(VLOOKUP(C320,Merchants!$A$2:$D$41,2,FALSE),"Merchant not found")</f>
        <v>Merchant_009</v>
      </c>
      <c r="J320" s="4" t="str">
        <f>IFERROR(VLOOKUP(C320,Merchants!$A$2:$D$41,3,FALSE),"Merchant not found")</f>
        <v>ecommerce</v>
      </c>
      <c r="K320" s="4" t="str">
        <f>IFERROR(VLOOKUP(C320,Merchants!$A$2:$D$41,4,FALSE),"Merchant not found")</f>
        <v>North</v>
      </c>
      <c r="L320" s="4">
        <f>IFERROR(HLOOKUP(F320,Fee_Lookup!$B$1:$E$2,2,FALSE),"Fee not found")</f>
        <v>0</v>
      </c>
      <c r="M320" s="5">
        <f t="shared" si="1"/>
        <v>46039</v>
      </c>
      <c r="N320" s="4" t="str">
        <f t="shared" si="2"/>
        <v>9|2026-01-17</v>
      </c>
      <c r="O320" s="4">
        <f>IFERROR(VLOOKUP(N320,Merchant_Daily!$A:$B,2,FALSE),0)</f>
        <v>248</v>
      </c>
      <c r="P320" s="4" t="str">
        <f t="shared" si="3"/>
        <v>Standard Merchant Day</v>
      </c>
    </row>
    <row r="321">
      <c r="A321" s="1" t="s">
        <v>891</v>
      </c>
      <c r="B321" s="1">
        <v>185.0</v>
      </c>
      <c r="C321" s="1">
        <v>36.0</v>
      </c>
      <c r="D321" s="3">
        <v>46048.62569444445</v>
      </c>
      <c r="E321" s="1">
        <v>49.0</v>
      </c>
      <c r="F321" s="1" t="s">
        <v>26</v>
      </c>
      <c r="G321" s="1" t="s">
        <v>27</v>
      </c>
      <c r="H321" s="1">
        <v>73.0</v>
      </c>
      <c r="I321" s="4" t="str">
        <f>IFERROR(VLOOKUP(C321,Merchants!$A$2:$D$41,2,FALSE),"Merchant not found")</f>
        <v>Merchant_036</v>
      </c>
      <c r="J321" s="4" t="str">
        <f>IFERROR(VLOOKUP(C321,Merchants!$A$2:$D$41,3,FALSE),"Merchant not found")</f>
        <v>entertainment</v>
      </c>
      <c r="K321" s="4" t="str">
        <f>IFERROR(VLOOKUP(C321,Merchants!$A$2:$D$41,4,FALSE),"Merchant not found")</f>
        <v>East</v>
      </c>
      <c r="L321" s="4">
        <f>IFERROR(HLOOKUP(F321,Fee_Lookup!$B$1:$E$2,2,FALSE),"Fee not found")</f>
        <v>0.005</v>
      </c>
      <c r="M321" s="5">
        <f t="shared" si="1"/>
        <v>46048</v>
      </c>
      <c r="N321" s="4" t="str">
        <f t="shared" si="2"/>
        <v>36|2026-01-26</v>
      </c>
      <c r="O321" s="4">
        <f>IFERROR(VLOOKUP(N321,Merchant_Daily!$A:$B,2,FALSE),0)</f>
        <v>198</v>
      </c>
      <c r="P321" s="4" t="str">
        <f t="shared" si="3"/>
        <v>Standard Merchant Day</v>
      </c>
    </row>
    <row r="322">
      <c r="A322" s="1" t="s">
        <v>892</v>
      </c>
      <c r="B322" s="1">
        <v>283.0</v>
      </c>
      <c r="C322" s="1">
        <v>9.0</v>
      </c>
      <c r="D322" s="3">
        <v>46034.61875</v>
      </c>
      <c r="E322" s="1">
        <v>299.0</v>
      </c>
      <c r="F322" s="1" t="s">
        <v>35</v>
      </c>
      <c r="G322" s="1" t="s">
        <v>27</v>
      </c>
      <c r="H322" s="1">
        <v>78.0</v>
      </c>
      <c r="I322" s="4" t="str">
        <f>IFERROR(VLOOKUP(C322,Merchants!$A$2:$D$41,2,FALSE),"Merchant not found")</f>
        <v>Merchant_009</v>
      </c>
      <c r="J322" s="4" t="str">
        <f>IFERROR(VLOOKUP(C322,Merchants!$A$2:$D$41,3,FALSE),"Merchant not found")</f>
        <v>ecommerce</v>
      </c>
      <c r="K322" s="4" t="str">
        <f>IFERROR(VLOOKUP(C322,Merchants!$A$2:$D$41,4,FALSE),"Merchant not found")</f>
        <v>North</v>
      </c>
      <c r="L322" s="4">
        <f>IFERROR(HLOOKUP(F322,Fee_Lookup!$B$1:$E$2,2,FALSE),"Fee not found")</f>
        <v>0</v>
      </c>
      <c r="M322" s="5">
        <f t="shared" si="1"/>
        <v>46034</v>
      </c>
      <c r="N322" s="4" t="str">
        <f t="shared" si="2"/>
        <v>9|2026-01-12</v>
      </c>
      <c r="O322" s="4">
        <f>IFERROR(VLOOKUP(N322,Merchant_Daily!$A:$B,2,FALSE),0)</f>
        <v>299</v>
      </c>
      <c r="P322" s="4" t="str">
        <f t="shared" si="3"/>
        <v>Standard Merchant Day</v>
      </c>
    </row>
    <row r="323">
      <c r="A323" s="1" t="s">
        <v>893</v>
      </c>
      <c r="B323" s="1">
        <v>159.0</v>
      </c>
      <c r="C323" s="1">
        <v>26.0</v>
      </c>
      <c r="D323" s="3">
        <v>46051.08611111111</v>
      </c>
      <c r="E323" s="1">
        <v>99.0</v>
      </c>
      <c r="F323" s="1" t="s">
        <v>35</v>
      </c>
      <c r="G323" s="1" t="s">
        <v>27</v>
      </c>
      <c r="H323" s="1">
        <v>91.0</v>
      </c>
      <c r="I323" s="4" t="str">
        <f>IFERROR(VLOOKUP(C323,Merchants!$A$2:$D$41,2,FALSE),"Merchant not found")</f>
        <v>Merchant_026</v>
      </c>
      <c r="J323" s="4" t="str">
        <f>IFERROR(VLOOKUP(C323,Merchants!$A$2:$D$41,3,FALSE),"Merchant not found")</f>
        <v>food_delivery</v>
      </c>
      <c r="K323" s="4" t="str">
        <f>IFERROR(VLOOKUP(C323,Merchants!$A$2:$D$41,4,FALSE),"Merchant not found")</f>
        <v>East</v>
      </c>
      <c r="L323" s="4">
        <f>IFERROR(HLOOKUP(F323,Fee_Lookup!$B$1:$E$2,2,FALSE),"Fee not found")</f>
        <v>0</v>
      </c>
      <c r="M323" s="5">
        <f t="shared" si="1"/>
        <v>46051</v>
      </c>
      <c r="N323" s="4" t="str">
        <f t="shared" si="2"/>
        <v>26|2026-01-29</v>
      </c>
      <c r="O323" s="4">
        <f>IFERROR(VLOOKUP(N323,Merchant_Daily!$A:$B,2,FALSE),0)</f>
        <v>148</v>
      </c>
      <c r="P323" s="4" t="str">
        <f t="shared" si="3"/>
        <v>Standard Merchant Day</v>
      </c>
    </row>
    <row r="324">
      <c r="A324" s="1" t="s">
        <v>894</v>
      </c>
      <c r="B324" s="1">
        <v>211.0</v>
      </c>
      <c r="C324" s="1">
        <v>27.0</v>
      </c>
      <c r="D324" s="3">
        <v>46046.64791666667</v>
      </c>
      <c r="E324" s="1">
        <v>99.0</v>
      </c>
      <c r="F324" s="1" t="s">
        <v>26</v>
      </c>
      <c r="G324" s="1" t="s">
        <v>27</v>
      </c>
      <c r="H324" s="1">
        <v>73.0</v>
      </c>
      <c r="I324" s="4" t="str">
        <f>IFERROR(VLOOKUP(C324,Merchants!$A$2:$D$41,2,FALSE),"Merchant not found")</f>
        <v>Merchant_027</v>
      </c>
      <c r="J324" s="4" t="str">
        <f>IFERROR(VLOOKUP(C324,Merchants!$A$2:$D$41,3,FALSE),"Merchant not found")</f>
        <v>ecommerce</v>
      </c>
      <c r="K324" s="4" t="str">
        <f>IFERROR(VLOOKUP(C324,Merchants!$A$2:$D$41,4,FALSE),"Merchant not found")</f>
        <v>North</v>
      </c>
      <c r="L324" s="4">
        <f>IFERROR(HLOOKUP(F324,Fee_Lookup!$B$1:$E$2,2,FALSE),"Fee not found")</f>
        <v>0.005</v>
      </c>
      <c r="M324" s="5">
        <f t="shared" si="1"/>
        <v>46046</v>
      </c>
      <c r="N324" s="4" t="str">
        <f t="shared" si="2"/>
        <v>27|2026-01-24</v>
      </c>
      <c r="O324" s="4">
        <f>IFERROR(VLOOKUP(N324,Merchant_Daily!$A:$B,2,FALSE),0)</f>
        <v>99</v>
      </c>
      <c r="P324" s="4" t="str">
        <f t="shared" si="3"/>
        <v>Standard Merchant Day</v>
      </c>
    </row>
    <row r="325">
      <c r="A325" s="1" t="s">
        <v>895</v>
      </c>
      <c r="B325" s="1">
        <v>329.0</v>
      </c>
      <c r="C325" s="1">
        <v>5.0</v>
      </c>
      <c r="D325" s="3">
        <v>46025.180555555555</v>
      </c>
      <c r="E325" s="1">
        <v>499.0</v>
      </c>
      <c r="F325" s="1" t="s">
        <v>47</v>
      </c>
      <c r="G325" s="1" t="s">
        <v>27</v>
      </c>
      <c r="H325" s="1">
        <v>57.0</v>
      </c>
      <c r="I325" s="4" t="str">
        <f>IFERROR(VLOOKUP(C325,Merchants!$A$2:$D$41,2,FALSE),"Merchant not found")</f>
        <v>Merchant_005</v>
      </c>
      <c r="J325" s="4" t="str">
        <f>IFERROR(VLOOKUP(C325,Merchants!$A$2:$D$41,3,FALSE),"Merchant not found")</f>
        <v>recharge</v>
      </c>
      <c r="K325" s="4" t="str">
        <f>IFERROR(VLOOKUP(C325,Merchants!$A$2:$D$41,4,FALSE),"Merchant not found")</f>
        <v>South</v>
      </c>
      <c r="L325" s="4">
        <f>IFERROR(HLOOKUP(F325,Fee_Lookup!$B$1:$E$2,2,FALSE),"Fee not found")</f>
        <v>0.015</v>
      </c>
      <c r="M325" s="5">
        <f t="shared" si="1"/>
        <v>46025</v>
      </c>
      <c r="N325" s="4" t="str">
        <f t="shared" si="2"/>
        <v>5|2026-01-03</v>
      </c>
      <c r="O325" s="4">
        <f>IFERROR(VLOOKUP(N325,Merchant_Daily!$A:$B,2,FALSE),0)</f>
        <v>499</v>
      </c>
      <c r="P325" s="4" t="str">
        <f t="shared" si="3"/>
        <v>Standard Merchant Day</v>
      </c>
    </row>
    <row r="326">
      <c r="A326" s="1" t="s">
        <v>896</v>
      </c>
      <c r="B326" s="1">
        <v>177.0</v>
      </c>
      <c r="C326" s="1">
        <v>9.0</v>
      </c>
      <c r="D326" s="3">
        <v>46037.89791666667</v>
      </c>
      <c r="E326" s="1">
        <v>99.0</v>
      </c>
      <c r="F326" s="1" t="s">
        <v>35</v>
      </c>
      <c r="G326" s="1" t="s">
        <v>27</v>
      </c>
      <c r="H326" s="1">
        <v>99.0</v>
      </c>
      <c r="I326" s="4" t="str">
        <f>IFERROR(VLOOKUP(C326,Merchants!$A$2:$D$41,2,FALSE),"Merchant not found")</f>
        <v>Merchant_009</v>
      </c>
      <c r="J326" s="4" t="str">
        <f>IFERROR(VLOOKUP(C326,Merchants!$A$2:$D$41,3,FALSE),"Merchant not found")</f>
        <v>ecommerce</v>
      </c>
      <c r="K326" s="4" t="str">
        <f>IFERROR(VLOOKUP(C326,Merchants!$A$2:$D$41,4,FALSE),"Merchant not found")</f>
        <v>North</v>
      </c>
      <c r="L326" s="4">
        <f>IFERROR(HLOOKUP(F326,Fee_Lookup!$B$1:$E$2,2,FALSE),"Fee not found")</f>
        <v>0</v>
      </c>
      <c r="M326" s="5">
        <f t="shared" si="1"/>
        <v>46037</v>
      </c>
      <c r="N326" s="4" t="str">
        <f t="shared" si="2"/>
        <v>9|2026-01-15</v>
      </c>
      <c r="O326" s="4">
        <f>IFERROR(VLOOKUP(N326,Merchant_Daily!$A:$B,2,FALSE),0)</f>
        <v>148</v>
      </c>
      <c r="P326" s="4" t="str">
        <f t="shared" si="3"/>
        <v>Standard Merchant Day</v>
      </c>
    </row>
    <row r="327">
      <c r="A327" s="1" t="s">
        <v>897</v>
      </c>
      <c r="B327" s="1">
        <v>94.0</v>
      </c>
      <c r="C327" s="1">
        <v>9.0</v>
      </c>
      <c r="D327" s="3">
        <v>46040.85902777778</v>
      </c>
      <c r="E327" s="1">
        <v>299.0</v>
      </c>
      <c r="F327" s="1" t="s">
        <v>35</v>
      </c>
      <c r="G327" s="1" t="s">
        <v>27</v>
      </c>
      <c r="H327" s="1">
        <v>55.0</v>
      </c>
      <c r="I327" s="4" t="str">
        <f>IFERROR(VLOOKUP(C327,Merchants!$A$2:$D$41,2,FALSE),"Merchant not found")</f>
        <v>Merchant_009</v>
      </c>
      <c r="J327" s="4" t="str">
        <f>IFERROR(VLOOKUP(C327,Merchants!$A$2:$D$41,3,FALSE),"Merchant not found")</f>
        <v>ecommerce</v>
      </c>
      <c r="K327" s="4" t="str">
        <f>IFERROR(VLOOKUP(C327,Merchants!$A$2:$D$41,4,FALSE),"Merchant not found")</f>
        <v>North</v>
      </c>
      <c r="L327" s="4">
        <f>IFERROR(HLOOKUP(F327,Fee_Lookup!$B$1:$E$2,2,FALSE),"Fee not found")</f>
        <v>0</v>
      </c>
      <c r="M327" s="5">
        <f t="shared" si="1"/>
        <v>46040</v>
      </c>
      <c r="N327" s="4" t="str">
        <f t="shared" si="2"/>
        <v>9|2026-01-18</v>
      </c>
      <c r="O327" s="4">
        <f>IFERROR(VLOOKUP(N327,Merchant_Daily!$A:$B,2,FALSE),0)</f>
        <v>299</v>
      </c>
      <c r="P327" s="4" t="str">
        <f t="shared" si="3"/>
        <v>Standard Merchant Day</v>
      </c>
    </row>
    <row r="328">
      <c r="A328" s="1" t="s">
        <v>898</v>
      </c>
      <c r="B328" s="1">
        <v>64.0</v>
      </c>
      <c r="C328" s="1">
        <v>34.0</v>
      </c>
      <c r="D328" s="3">
        <v>46039.07847222222</v>
      </c>
      <c r="E328" s="1">
        <v>299.0</v>
      </c>
      <c r="F328" s="1" t="s">
        <v>35</v>
      </c>
      <c r="G328" s="1" t="s">
        <v>27</v>
      </c>
      <c r="H328" s="1">
        <v>19.0</v>
      </c>
      <c r="I328" s="4" t="str">
        <f>IFERROR(VLOOKUP(C328,Merchants!$A$2:$D$41,2,FALSE),"Merchant not found")</f>
        <v>Merchant_034</v>
      </c>
      <c r="J328" s="4" t="str">
        <f>IFERROR(VLOOKUP(C328,Merchants!$A$2:$D$41,3,FALSE),"Merchant not found")</f>
        <v>travel</v>
      </c>
      <c r="K328" s="4" t="str">
        <f>IFERROR(VLOOKUP(C328,Merchants!$A$2:$D$41,4,FALSE),"Merchant not found")</f>
        <v>South</v>
      </c>
      <c r="L328" s="4">
        <f>IFERROR(HLOOKUP(F328,Fee_Lookup!$B$1:$E$2,2,FALSE),"Fee not found")</f>
        <v>0</v>
      </c>
      <c r="M328" s="5">
        <f t="shared" si="1"/>
        <v>46039</v>
      </c>
      <c r="N328" s="4" t="str">
        <f t="shared" si="2"/>
        <v>34|2026-01-17</v>
      </c>
      <c r="O328" s="4">
        <f>IFERROR(VLOOKUP(N328,Merchant_Daily!$A:$B,2,FALSE),0)</f>
        <v>299</v>
      </c>
      <c r="P328" s="4" t="str">
        <f t="shared" si="3"/>
        <v>Standard Merchant Day</v>
      </c>
    </row>
    <row r="329">
      <c r="A329" s="1" t="s">
        <v>899</v>
      </c>
      <c r="B329" s="1">
        <v>166.0</v>
      </c>
      <c r="C329" s="1">
        <v>15.0</v>
      </c>
      <c r="D329" s="3">
        <v>46032.21527777778</v>
      </c>
      <c r="E329" s="1">
        <v>49.0</v>
      </c>
      <c r="F329" s="1" t="s">
        <v>35</v>
      </c>
      <c r="G329" s="1" t="s">
        <v>27</v>
      </c>
      <c r="H329" s="1">
        <v>44.0</v>
      </c>
      <c r="I329" s="4" t="str">
        <f>IFERROR(VLOOKUP(C329,Merchants!$A$2:$D$41,2,FALSE),"Merchant not found")</f>
        <v>Merchant_015</v>
      </c>
      <c r="J329" s="4" t="str">
        <f>IFERROR(VLOOKUP(C329,Merchants!$A$2:$D$41,3,FALSE),"Merchant not found")</f>
        <v>travel</v>
      </c>
      <c r="K329" s="4" t="str">
        <f>IFERROR(VLOOKUP(C329,Merchants!$A$2:$D$41,4,FALSE),"Merchant not found")</f>
        <v>North</v>
      </c>
      <c r="L329" s="4">
        <f>IFERROR(HLOOKUP(F329,Fee_Lookup!$B$1:$E$2,2,FALSE),"Fee not found")</f>
        <v>0</v>
      </c>
      <c r="M329" s="5">
        <f t="shared" si="1"/>
        <v>46032</v>
      </c>
      <c r="N329" s="4" t="str">
        <f t="shared" si="2"/>
        <v>15|2026-01-10</v>
      </c>
      <c r="O329" s="4">
        <f>IFERROR(VLOOKUP(N329,Merchant_Daily!$A:$B,2,FALSE),0)</f>
        <v>49</v>
      </c>
      <c r="P329" s="4" t="str">
        <f t="shared" si="3"/>
        <v>Standard Merchant Day</v>
      </c>
    </row>
    <row r="330">
      <c r="A330" s="1" t="s">
        <v>900</v>
      </c>
      <c r="B330" s="1">
        <v>41.0</v>
      </c>
      <c r="C330" s="1">
        <v>17.0</v>
      </c>
      <c r="D330" s="3">
        <v>46039.4125</v>
      </c>
      <c r="E330" s="1">
        <v>299.0</v>
      </c>
      <c r="F330" s="1" t="s">
        <v>26</v>
      </c>
      <c r="G330" s="1" t="s">
        <v>27</v>
      </c>
      <c r="H330" s="1">
        <v>25.0</v>
      </c>
      <c r="I330" s="4" t="str">
        <f>IFERROR(VLOOKUP(C330,Merchants!$A$2:$D$41,2,FALSE),"Merchant not found")</f>
        <v>Merchant_017</v>
      </c>
      <c r="J330" s="4" t="str">
        <f>IFERROR(VLOOKUP(C330,Merchants!$A$2:$D$41,3,FALSE),"Merchant not found")</f>
        <v>grocery</v>
      </c>
      <c r="K330" s="4" t="str">
        <f>IFERROR(VLOOKUP(C330,Merchants!$A$2:$D$41,4,FALSE),"Merchant not found")</f>
        <v>North</v>
      </c>
      <c r="L330" s="4">
        <f>IFERROR(HLOOKUP(F330,Fee_Lookup!$B$1:$E$2,2,FALSE),"Fee not found")</f>
        <v>0.005</v>
      </c>
      <c r="M330" s="5">
        <f t="shared" si="1"/>
        <v>46039</v>
      </c>
      <c r="N330" s="4" t="str">
        <f t="shared" si="2"/>
        <v>17|2026-01-17</v>
      </c>
      <c r="O330" s="4">
        <f>IFERROR(VLOOKUP(N330,Merchant_Daily!$A:$B,2,FALSE),0)</f>
        <v>299</v>
      </c>
      <c r="P330" s="4" t="str">
        <f t="shared" si="3"/>
        <v>Standard Merchant Day</v>
      </c>
    </row>
    <row r="331">
      <c r="A331" s="1" t="s">
        <v>901</v>
      </c>
      <c r="B331" s="1">
        <v>65.0</v>
      </c>
      <c r="C331" s="1">
        <v>20.0</v>
      </c>
      <c r="D331" s="3">
        <v>46043.720138888886</v>
      </c>
      <c r="E331" s="1">
        <v>99.0</v>
      </c>
      <c r="F331" s="1" t="s">
        <v>46</v>
      </c>
      <c r="G331" s="1" t="s">
        <v>27</v>
      </c>
      <c r="H331" s="1">
        <v>78.0</v>
      </c>
      <c r="I331" s="4" t="str">
        <f>IFERROR(VLOOKUP(C331,Merchants!$A$2:$D$41,2,FALSE),"Merchant not found")</f>
        <v>Merchant_020</v>
      </c>
      <c r="J331" s="4" t="str">
        <f>IFERROR(VLOOKUP(C331,Merchants!$A$2:$D$41,3,FALSE),"Merchant not found")</f>
        <v>food_delivery</v>
      </c>
      <c r="K331" s="4" t="str">
        <f>IFERROR(VLOOKUP(C331,Merchants!$A$2:$D$41,4,FALSE),"Merchant not found")</f>
        <v>East</v>
      </c>
      <c r="L331" s="4">
        <f>IFERROR(HLOOKUP(F331,Fee_Lookup!$B$1:$E$2,2,FALSE),"Fee not found")</f>
        <v>0.01</v>
      </c>
      <c r="M331" s="5">
        <f t="shared" si="1"/>
        <v>46043</v>
      </c>
      <c r="N331" s="4" t="str">
        <f t="shared" si="2"/>
        <v>20|2026-01-21</v>
      </c>
      <c r="O331" s="4">
        <f>IFERROR(VLOOKUP(N331,Merchant_Daily!$A:$B,2,FALSE),0)</f>
        <v>99</v>
      </c>
      <c r="P331" s="4" t="str">
        <f t="shared" si="3"/>
        <v>Standard Merchant Day</v>
      </c>
    </row>
    <row r="332">
      <c r="A332" s="1" t="s">
        <v>902</v>
      </c>
      <c r="B332" s="1">
        <v>329.0</v>
      </c>
      <c r="C332" s="1">
        <v>11.0</v>
      </c>
      <c r="D332" s="3">
        <v>46040.10555555556</v>
      </c>
      <c r="E332" s="1">
        <v>499.0</v>
      </c>
      <c r="F332" s="1" t="s">
        <v>35</v>
      </c>
      <c r="G332" s="1" t="s">
        <v>27</v>
      </c>
      <c r="H332" s="1">
        <v>75.0</v>
      </c>
      <c r="I332" s="4" t="str">
        <f>IFERROR(VLOOKUP(C332,Merchants!$A$2:$D$41,2,FALSE),"Merchant not found")</f>
        <v>Merchant_011</v>
      </c>
      <c r="J332" s="4" t="str">
        <f>IFERROR(VLOOKUP(C332,Merchants!$A$2:$D$41,3,FALSE),"Merchant not found")</f>
        <v>ecommerce</v>
      </c>
      <c r="K332" s="4" t="str">
        <f>IFERROR(VLOOKUP(C332,Merchants!$A$2:$D$41,4,FALSE),"Merchant not found")</f>
        <v>North</v>
      </c>
      <c r="L332" s="4">
        <f>IFERROR(HLOOKUP(F332,Fee_Lookup!$B$1:$E$2,2,FALSE),"Fee not found")</f>
        <v>0</v>
      </c>
      <c r="M332" s="5">
        <f t="shared" si="1"/>
        <v>46040</v>
      </c>
      <c r="N332" s="4" t="str">
        <f t="shared" si="2"/>
        <v>11|2026-01-18</v>
      </c>
      <c r="O332" s="4">
        <f>IFERROR(VLOOKUP(N332,Merchant_Daily!$A:$B,2,FALSE),0)</f>
        <v>499</v>
      </c>
      <c r="P332" s="4" t="str">
        <f t="shared" si="3"/>
        <v>Standard Merchant Day</v>
      </c>
    </row>
    <row r="333">
      <c r="A333" s="1" t="s">
        <v>903</v>
      </c>
      <c r="B333" s="1">
        <v>338.0</v>
      </c>
      <c r="C333" s="1">
        <v>40.0</v>
      </c>
      <c r="D333" s="3">
        <v>46041.17361111111</v>
      </c>
      <c r="E333" s="1">
        <v>149.0</v>
      </c>
      <c r="F333" s="1" t="s">
        <v>35</v>
      </c>
      <c r="G333" s="1" t="s">
        <v>27</v>
      </c>
      <c r="H333" s="1">
        <v>92.0</v>
      </c>
      <c r="I333" s="4" t="str">
        <f>IFERROR(VLOOKUP(C333,Merchants!$A$2:$D$41,2,FALSE),"Merchant not found")</f>
        <v>Merchant_040</v>
      </c>
      <c r="J333" s="4" t="str">
        <f>IFERROR(VLOOKUP(C333,Merchants!$A$2:$D$41,3,FALSE),"Merchant not found")</f>
        <v>entertainment</v>
      </c>
      <c r="K333" s="4" t="str">
        <f>IFERROR(VLOOKUP(C333,Merchants!$A$2:$D$41,4,FALSE),"Merchant not found")</f>
        <v>South</v>
      </c>
      <c r="L333" s="4">
        <f>IFERROR(HLOOKUP(F333,Fee_Lookup!$B$1:$E$2,2,FALSE),"Fee not found")</f>
        <v>0</v>
      </c>
      <c r="M333" s="5">
        <f t="shared" si="1"/>
        <v>46041</v>
      </c>
      <c r="N333" s="4" t="str">
        <f t="shared" si="2"/>
        <v>40|2026-01-19</v>
      </c>
      <c r="O333" s="4">
        <f>IFERROR(VLOOKUP(N333,Merchant_Daily!$A:$B,2,FALSE),0)</f>
        <v>648</v>
      </c>
      <c r="P333" s="4" t="str">
        <f t="shared" si="3"/>
        <v>Standard Merchant Day</v>
      </c>
    </row>
    <row r="334">
      <c r="A334" s="1" t="s">
        <v>904</v>
      </c>
      <c r="B334" s="1">
        <v>289.0</v>
      </c>
      <c r="C334" s="1">
        <v>3.0</v>
      </c>
      <c r="D334" s="3">
        <v>46051.80625</v>
      </c>
      <c r="E334" s="1">
        <v>49.0</v>
      </c>
      <c r="F334" s="1" t="s">
        <v>47</v>
      </c>
      <c r="G334" s="1" t="s">
        <v>27</v>
      </c>
      <c r="H334" s="1">
        <v>3.0</v>
      </c>
      <c r="I334" s="4" t="str">
        <f>IFERROR(VLOOKUP(C334,Merchants!$A$2:$D$41,2,FALSE),"Merchant not found")</f>
        <v>Merchant_003</v>
      </c>
      <c r="J334" s="4" t="str">
        <f>IFERROR(VLOOKUP(C334,Merchants!$A$2:$D$41,3,FALSE),"Merchant not found")</f>
        <v>grocery</v>
      </c>
      <c r="K334" s="4" t="str">
        <f>IFERROR(VLOOKUP(C334,Merchants!$A$2:$D$41,4,FALSE),"Merchant not found")</f>
        <v>East</v>
      </c>
      <c r="L334" s="4">
        <f>IFERROR(HLOOKUP(F334,Fee_Lookup!$B$1:$E$2,2,FALSE),"Fee not found")</f>
        <v>0.015</v>
      </c>
      <c r="M334" s="5">
        <f t="shared" si="1"/>
        <v>46051</v>
      </c>
      <c r="N334" s="4" t="str">
        <f t="shared" si="2"/>
        <v>3|2026-01-29</v>
      </c>
      <c r="O334" s="4">
        <f>IFERROR(VLOOKUP(N334,Merchant_Daily!$A:$B,2,FALSE),0)</f>
        <v>49</v>
      </c>
      <c r="P334" s="4" t="str">
        <f t="shared" si="3"/>
        <v>Standard Merchant Day</v>
      </c>
    </row>
    <row r="335">
      <c r="A335" s="1" t="s">
        <v>905</v>
      </c>
      <c r="B335" s="1">
        <v>296.0</v>
      </c>
      <c r="C335" s="1">
        <v>17.0</v>
      </c>
      <c r="D335" s="3">
        <v>46025.07013888889</v>
      </c>
      <c r="E335" s="1">
        <v>99.0</v>
      </c>
      <c r="F335" s="1" t="s">
        <v>35</v>
      </c>
      <c r="G335" s="1" t="s">
        <v>27</v>
      </c>
      <c r="H335" s="1">
        <v>83.0</v>
      </c>
      <c r="I335" s="4" t="str">
        <f>IFERROR(VLOOKUP(C335,Merchants!$A$2:$D$41,2,FALSE),"Merchant not found")</f>
        <v>Merchant_017</v>
      </c>
      <c r="J335" s="4" t="str">
        <f>IFERROR(VLOOKUP(C335,Merchants!$A$2:$D$41,3,FALSE),"Merchant not found")</f>
        <v>grocery</v>
      </c>
      <c r="K335" s="4" t="str">
        <f>IFERROR(VLOOKUP(C335,Merchants!$A$2:$D$41,4,FALSE),"Merchant not found")</f>
        <v>North</v>
      </c>
      <c r="L335" s="4">
        <f>IFERROR(HLOOKUP(F335,Fee_Lookup!$B$1:$E$2,2,FALSE),"Fee not found")</f>
        <v>0</v>
      </c>
      <c r="M335" s="5">
        <f t="shared" si="1"/>
        <v>46025</v>
      </c>
      <c r="N335" s="4" t="str">
        <f t="shared" si="2"/>
        <v>17|2026-01-03</v>
      </c>
      <c r="O335" s="4">
        <f>IFERROR(VLOOKUP(N335,Merchant_Daily!$A:$B,2,FALSE),0)</f>
        <v>398</v>
      </c>
      <c r="P335" s="4" t="str">
        <f t="shared" si="3"/>
        <v>Standard Merchant Day</v>
      </c>
    </row>
    <row r="336">
      <c r="A336" s="1" t="s">
        <v>906</v>
      </c>
      <c r="B336" s="1">
        <v>317.0</v>
      </c>
      <c r="C336" s="1">
        <v>2.0</v>
      </c>
      <c r="D336" s="3">
        <v>46029.768055555556</v>
      </c>
      <c r="E336" s="1">
        <v>499.0</v>
      </c>
      <c r="F336" s="1" t="s">
        <v>46</v>
      </c>
      <c r="G336" s="1" t="s">
        <v>27</v>
      </c>
      <c r="H336" s="1">
        <v>63.0</v>
      </c>
      <c r="I336" s="4" t="str">
        <f>IFERROR(VLOOKUP(C336,Merchants!$A$2:$D$41,2,FALSE),"Merchant not found")</f>
        <v>Merchant_002</v>
      </c>
      <c r="J336" s="4" t="str">
        <f>IFERROR(VLOOKUP(C336,Merchants!$A$2:$D$41,3,FALSE),"Merchant not found")</f>
        <v>grocery</v>
      </c>
      <c r="K336" s="4" t="str">
        <f>IFERROR(VLOOKUP(C336,Merchants!$A$2:$D$41,4,FALSE),"Merchant not found")</f>
        <v>West</v>
      </c>
      <c r="L336" s="4">
        <f>IFERROR(HLOOKUP(F336,Fee_Lookup!$B$1:$E$2,2,FALSE),"Fee not found")</f>
        <v>0.01</v>
      </c>
      <c r="M336" s="5">
        <f t="shared" si="1"/>
        <v>46029</v>
      </c>
      <c r="N336" s="4" t="str">
        <f t="shared" si="2"/>
        <v>2|2026-01-07</v>
      </c>
      <c r="O336" s="4">
        <f>IFERROR(VLOOKUP(N336,Merchant_Daily!$A:$B,2,FALSE),0)</f>
        <v>499</v>
      </c>
      <c r="P336" s="4" t="str">
        <f t="shared" si="3"/>
        <v>Standard Merchant Day</v>
      </c>
    </row>
    <row r="337">
      <c r="A337" s="1" t="s">
        <v>907</v>
      </c>
      <c r="B337" s="1">
        <v>149.0</v>
      </c>
      <c r="C337" s="1">
        <v>20.0</v>
      </c>
      <c r="D337" s="3">
        <v>46051.856944444444</v>
      </c>
      <c r="E337" s="1">
        <v>499.0</v>
      </c>
      <c r="F337" s="1" t="s">
        <v>46</v>
      </c>
      <c r="G337" s="1" t="s">
        <v>27</v>
      </c>
      <c r="H337" s="1">
        <v>61.0</v>
      </c>
      <c r="I337" s="4" t="str">
        <f>IFERROR(VLOOKUP(C337,Merchants!$A$2:$D$41,2,FALSE),"Merchant not found")</f>
        <v>Merchant_020</v>
      </c>
      <c r="J337" s="4" t="str">
        <f>IFERROR(VLOOKUP(C337,Merchants!$A$2:$D$41,3,FALSE),"Merchant not found")</f>
        <v>food_delivery</v>
      </c>
      <c r="K337" s="4" t="str">
        <f>IFERROR(VLOOKUP(C337,Merchants!$A$2:$D$41,4,FALSE),"Merchant not found")</f>
        <v>East</v>
      </c>
      <c r="L337" s="4">
        <f>IFERROR(HLOOKUP(F337,Fee_Lookup!$B$1:$E$2,2,FALSE),"Fee not found")</f>
        <v>0.01</v>
      </c>
      <c r="M337" s="5">
        <f t="shared" si="1"/>
        <v>46051</v>
      </c>
      <c r="N337" s="4" t="str">
        <f t="shared" si="2"/>
        <v>20|2026-01-29</v>
      </c>
      <c r="O337" s="4">
        <f>IFERROR(VLOOKUP(N337,Merchant_Daily!$A:$B,2,FALSE),0)</f>
        <v>499</v>
      </c>
      <c r="P337" s="4" t="str">
        <f t="shared" si="3"/>
        <v>Standard Merchant Day</v>
      </c>
    </row>
    <row r="338">
      <c r="A338" s="1" t="s">
        <v>908</v>
      </c>
      <c r="B338" s="1">
        <v>153.0</v>
      </c>
      <c r="C338" s="1">
        <v>30.0</v>
      </c>
      <c r="D338" s="3">
        <v>46030.89236111111</v>
      </c>
      <c r="E338" s="1">
        <v>299.0</v>
      </c>
      <c r="F338" s="1" t="s">
        <v>35</v>
      </c>
      <c r="G338" s="1" t="s">
        <v>27</v>
      </c>
      <c r="H338" s="1">
        <v>9.0</v>
      </c>
      <c r="I338" s="4" t="str">
        <f>IFERROR(VLOOKUP(C338,Merchants!$A$2:$D$41,2,FALSE),"Merchant not found")</f>
        <v>Merchant_030</v>
      </c>
      <c r="J338" s="4" t="str">
        <f>IFERROR(VLOOKUP(C338,Merchants!$A$2:$D$41,3,FALSE),"Merchant not found")</f>
        <v>travel</v>
      </c>
      <c r="K338" s="4" t="str">
        <f>IFERROR(VLOOKUP(C338,Merchants!$A$2:$D$41,4,FALSE),"Merchant not found")</f>
        <v>West</v>
      </c>
      <c r="L338" s="4">
        <f>IFERROR(HLOOKUP(F338,Fee_Lookup!$B$1:$E$2,2,FALSE),"Fee not found")</f>
        <v>0</v>
      </c>
      <c r="M338" s="5">
        <f t="shared" si="1"/>
        <v>46030</v>
      </c>
      <c r="N338" s="4" t="str">
        <f t="shared" si="2"/>
        <v>30|2026-01-08</v>
      </c>
      <c r="O338" s="4">
        <f>IFERROR(VLOOKUP(N338,Merchant_Daily!$A:$B,2,FALSE),0)</f>
        <v>1197</v>
      </c>
      <c r="P338" s="4" t="str">
        <f t="shared" si="3"/>
        <v>Standard Merchant Day</v>
      </c>
    </row>
    <row r="339">
      <c r="A339" s="1" t="s">
        <v>909</v>
      </c>
      <c r="B339" s="1">
        <v>226.0</v>
      </c>
      <c r="C339" s="1">
        <v>27.0</v>
      </c>
      <c r="D339" s="3">
        <v>46045.04861111111</v>
      </c>
      <c r="E339" s="1">
        <v>2999.0</v>
      </c>
      <c r="F339" s="1" t="s">
        <v>35</v>
      </c>
      <c r="G339" s="1" t="s">
        <v>34</v>
      </c>
      <c r="H339" s="1">
        <v>61.0</v>
      </c>
      <c r="I339" s="4" t="str">
        <f>IFERROR(VLOOKUP(C339,Merchants!$A$2:$D$41,2,FALSE),"Merchant not found")</f>
        <v>Merchant_027</v>
      </c>
      <c r="J339" s="4" t="str">
        <f>IFERROR(VLOOKUP(C339,Merchants!$A$2:$D$41,3,FALSE),"Merchant not found")</f>
        <v>ecommerce</v>
      </c>
      <c r="K339" s="4" t="str">
        <f>IFERROR(VLOOKUP(C339,Merchants!$A$2:$D$41,4,FALSE),"Merchant not found")</f>
        <v>North</v>
      </c>
      <c r="L339" s="4">
        <f>IFERROR(HLOOKUP(F339,Fee_Lookup!$B$1:$E$2,2,FALSE),"Fee not found")</f>
        <v>0</v>
      </c>
      <c r="M339" s="5">
        <f t="shared" si="1"/>
        <v>46045</v>
      </c>
      <c r="N339" s="4" t="str">
        <f t="shared" si="2"/>
        <v>27|2026-01-23</v>
      </c>
      <c r="O339" s="4">
        <f>IFERROR(VLOOKUP(N339,Merchant_Daily!$A:$B,2,FALSE),0)</f>
        <v>3998</v>
      </c>
      <c r="P339" s="4" t="str">
        <f t="shared" si="3"/>
        <v>Standard Merchant Day</v>
      </c>
    </row>
    <row r="340">
      <c r="A340" s="1" t="s">
        <v>910</v>
      </c>
      <c r="B340" s="1">
        <v>311.0</v>
      </c>
      <c r="C340" s="1">
        <v>10.0</v>
      </c>
      <c r="D340" s="3">
        <v>46037.26458333333</v>
      </c>
      <c r="E340" s="1">
        <v>2999.0</v>
      </c>
      <c r="F340" s="1" t="s">
        <v>35</v>
      </c>
      <c r="G340" s="1" t="s">
        <v>27</v>
      </c>
      <c r="H340" s="1">
        <v>40.0</v>
      </c>
      <c r="I340" s="4" t="str">
        <f>IFERROR(VLOOKUP(C340,Merchants!$A$2:$D$41,2,FALSE),"Merchant not found")</f>
        <v>Merchant_010</v>
      </c>
      <c r="J340" s="4" t="str">
        <f>IFERROR(VLOOKUP(C340,Merchants!$A$2:$D$41,3,FALSE),"Merchant not found")</f>
        <v>grocery</v>
      </c>
      <c r="K340" s="4" t="str">
        <f>IFERROR(VLOOKUP(C340,Merchants!$A$2:$D$41,4,FALSE),"Merchant not found")</f>
        <v>West</v>
      </c>
      <c r="L340" s="4">
        <f>IFERROR(HLOOKUP(F340,Fee_Lookup!$B$1:$E$2,2,FALSE),"Fee not found")</f>
        <v>0</v>
      </c>
      <c r="M340" s="5">
        <f t="shared" si="1"/>
        <v>46037</v>
      </c>
      <c r="N340" s="4" t="str">
        <f t="shared" si="2"/>
        <v>10|2026-01-15</v>
      </c>
      <c r="O340" s="4">
        <f>IFERROR(VLOOKUP(N340,Merchant_Daily!$A:$B,2,FALSE),0)</f>
        <v>2999</v>
      </c>
      <c r="P340" s="4" t="str">
        <f t="shared" si="3"/>
        <v>Standard Merchant Day</v>
      </c>
    </row>
    <row r="341">
      <c r="A341" s="1" t="s">
        <v>911</v>
      </c>
      <c r="B341" s="1">
        <v>177.0</v>
      </c>
      <c r="C341" s="1">
        <v>26.0</v>
      </c>
      <c r="D341" s="3">
        <v>46050.930555555555</v>
      </c>
      <c r="E341" s="1">
        <v>1499.0</v>
      </c>
      <c r="F341" s="1" t="s">
        <v>35</v>
      </c>
      <c r="G341" s="1" t="s">
        <v>27</v>
      </c>
      <c r="H341" s="1">
        <v>16.0</v>
      </c>
      <c r="I341" s="4" t="str">
        <f>IFERROR(VLOOKUP(C341,Merchants!$A$2:$D$41,2,FALSE),"Merchant not found")</f>
        <v>Merchant_026</v>
      </c>
      <c r="J341" s="4" t="str">
        <f>IFERROR(VLOOKUP(C341,Merchants!$A$2:$D$41,3,FALSE),"Merchant not found")</f>
        <v>food_delivery</v>
      </c>
      <c r="K341" s="4" t="str">
        <f>IFERROR(VLOOKUP(C341,Merchants!$A$2:$D$41,4,FALSE),"Merchant not found")</f>
        <v>East</v>
      </c>
      <c r="L341" s="4">
        <f>IFERROR(HLOOKUP(F341,Fee_Lookup!$B$1:$E$2,2,FALSE),"Fee not found")</f>
        <v>0</v>
      </c>
      <c r="M341" s="5">
        <f t="shared" si="1"/>
        <v>46050</v>
      </c>
      <c r="N341" s="4" t="str">
        <f t="shared" si="2"/>
        <v>26|2026-01-28</v>
      </c>
      <c r="O341" s="4">
        <f>IFERROR(VLOOKUP(N341,Merchant_Daily!$A:$B,2,FALSE),0)</f>
        <v>1499</v>
      </c>
      <c r="P341" s="4" t="str">
        <f t="shared" si="3"/>
        <v>Standard Merchant Day</v>
      </c>
    </row>
    <row r="342">
      <c r="A342" s="1" t="s">
        <v>912</v>
      </c>
      <c r="B342" s="1">
        <v>288.0</v>
      </c>
      <c r="C342" s="1">
        <v>7.0</v>
      </c>
      <c r="D342" s="3">
        <v>46047.48055555556</v>
      </c>
      <c r="E342" s="1">
        <v>99.0</v>
      </c>
      <c r="F342" s="1" t="s">
        <v>47</v>
      </c>
      <c r="G342" s="1" t="s">
        <v>27</v>
      </c>
      <c r="H342" s="1">
        <v>40.0</v>
      </c>
      <c r="I342" s="4" t="str">
        <f>IFERROR(VLOOKUP(C342,Merchants!$A$2:$D$41,2,FALSE),"Merchant not found")</f>
        <v>Merchant_007</v>
      </c>
      <c r="J342" s="4" t="str">
        <f>IFERROR(VLOOKUP(C342,Merchants!$A$2:$D$41,3,FALSE),"Merchant not found")</f>
        <v>food_delivery</v>
      </c>
      <c r="K342" s="4" t="str">
        <f>IFERROR(VLOOKUP(C342,Merchants!$A$2:$D$41,4,FALSE),"Merchant not found")</f>
        <v>East</v>
      </c>
      <c r="L342" s="4">
        <f>IFERROR(HLOOKUP(F342,Fee_Lookup!$B$1:$E$2,2,FALSE),"Fee not found")</f>
        <v>0.015</v>
      </c>
      <c r="M342" s="5">
        <f t="shared" si="1"/>
        <v>46047</v>
      </c>
      <c r="N342" s="4" t="str">
        <f t="shared" si="2"/>
        <v>7|2026-01-25</v>
      </c>
      <c r="O342" s="4">
        <f>IFERROR(VLOOKUP(N342,Merchant_Daily!$A:$B,2,FALSE),0)</f>
        <v>99</v>
      </c>
      <c r="P342" s="4" t="str">
        <f t="shared" si="3"/>
        <v>Standard Merchant Day</v>
      </c>
    </row>
    <row r="343">
      <c r="A343" s="1" t="s">
        <v>913</v>
      </c>
      <c r="B343" s="1">
        <v>137.0</v>
      </c>
      <c r="C343" s="1">
        <v>29.0</v>
      </c>
      <c r="D343" s="3">
        <v>46030.58819444444</v>
      </c>
      <c r="E343" s="1">
        <v>2999.0</v>
      </c>
      <c r="F343" s="1" t="s">
        <v>35</v>
      </c>
      <c r="G343" s="1" t="s">
        <v>30</v>
      </c>
      <c r="H343" s="1">
        <v>31.0</v>
      </c>
      <c r="I343" s="4" t="str">
        <f>IFERROR(VLOOKUP(C343,Merchants!$A$2:$D$41,2,FALSE),"Merchant not found")</f>
        <v>Merchant_029</v>
      </c>
      <c r="J343" s="4" t="str">
        <f>IFERROR(VLOOKUP(C343,Merchants!$A$2:$D$41,3,FALSE),"Merchant not found")</f>
        <v>ecommerce</v>
      </c>
      <c r="K343" s="4" t="str">
        <f>IFERROR(VLOOKUP(C343,Merchants!$A$2:$D$41,4,FALSE),"Merchant not found")</f>
        <v>North</v>
      </c>
      <c r="L343" s="4">
        <f>IFERROR(HLOOKUP(F343,Fee_Lookup!$B$1:$E$2,2,FALSE),"Fee not found")</f>
        <v>0</v>
      </c>
      <c r="M343" s="5">
        <f t="shared" si="1"/>
        <v>46030</v>
      </c>
      <c r="N343" s="4" t="str">
        <f t="shared" si="2"/>
        <v>29|2026-01-08</v>
      </c>
      <c r="O343" s="4">
        <f>IFERROR(VLOOKUP(N343,Merchant_Daily!$A:$B,2,FALSE),0)</f>
        <v>2999</v>
      </c>
      <c r="P343" s="4" t="str">
        <f t="shared" si="3"/>
        <v>Standard Merchant Day</v>
      </c>
    </row>
    <row r="344">
      <c r="A344" s="1" t="s">
        <v>914</v>
      </c>
      <c r="B344" s="1">
        <v>149.0</v>
      </c>
      <c r="C344" s="1">
        <v>25.0</v>
      </c>
      <c r="D344" s="3">
        <v>46027.12708333333</v>
      </c>
      <c r="E344" s="1">
        <v>1499.0</v>
      </c>
      <c r="F344" s="1" t="s">
        <v>35</v>
      </c>
      <c r="G344" s="1" t="s">
        <v>27</v>
      </c>
      <c r="H344" s="1">
        <v>78.0</v>
      </c>
      <c r="I344" s="4" t="str">
        <f>IFERROR(VLOOKUP(C344,Merchants!$A$2:$D$41,2,FALSE),"Merchant not found")</f>
        <v>Merchant_025</v>
      </c>
      <c r="J344" s="4" t="str">
        <f>IFERROR(VLOOKUP(C344,Merchants!$A$2:$D$41,3,FALSE),"Merchant not found")</f>
        <v>travel</v>
      </c>
      <c r="K344" s="4" t="str">
        <f>IFERROR(VLOOKUP(C344,Merchants!$A$2:$D$41,4,FALSE),"Merchant not found")</f>
        <v>South</v>
      </c>
      <c r="L344" s="4">
        <f>IFERROR(HLOOKUP(F344,Fee_Lookup!$B$1:$E$2,2,FALSE),"Fee not found")</f>
        <v>0</v>
      </c>
      <c r="M344" s="5">
        <f t="shared" si="1"/>
        <v>46027</v>
      </c>
      <c r="N344" s="4" t="str">
        <f t="shared" si="2"/>
        <v>25|2026-01-05</v>
      </c>
      <c r="O344" s="4">
        <f>IFERROR(VLOOKUP(N344,Merchant_Daily!$A:$B,2,FALSE),0)</f>
        <v>4498</v>
      </c>
      <c r="P344" s="4" t="str">
        <f t="shared" si="3"/>
        <v>Standard Merchant Day</v>
      </c>
    </row>
    <row r="345">
      <c r="A345" s="1" t="s">
        <v>915</v>
      </c>
      <c r="B345" s="1">
        <v>82.0</v>
      </c>
      <c r="C345" s="1">
        <v>21.0</v>
      </c>
      <c r="D345" s="3">
        <v>46036.32986111111</v>
      </c>
      <c r="E345" s="1">
        <v>49.0</v>
      </c>
      <c r="F345" s="1" t="s">
        <v>26</v>
      </c>
      <c r="G345" s="1" t="s">
        <v>27</v>
      </c>
      <c r="H345" s="1">
        <v>73.0</v>
      </c>
      <c r="I345" s="4" t="str">
        <f>IFERROR(VLOOKUP(C345,Merchants!$A$2:$D$41,2,FALSE),"Merchant not found")</f>
        <v>Merchant_021</v>
      </c>
      <c r="J345" s="4" t="str">
        <f>IFERROR(VLOOKUP(C345,Merchants!$A$2:$D$41,3,FALSE),"Merchant not found")</f>
        <v>food_delivery</v>
      </c>
      <c r="K345" s="4" t="str">
        <f>IFERROR(VLOOKUP(C345,Merchants!$A$2:$D$41,4,FALSE),"Merchant not found")</f>
        <v>East</v>
      </c>
      <c r="L345" s="4">
        <f>IFERROR(HLOOKUP(F345,Fee_Lookup!$B$1:$E$2,2,FALSE),"Fee not found")</f>
        <v>0.005</v>
      </c>
      <c r="M345" s="5">
        <f t="shared" si="1"/>
        <v>46036</v>
      </c>
      <c r="N345" s="4" t="str">
        <f t="shared" si="2"/>
        <v>21|2026-01-14</v>
      </c>
      <c r="O345" s="4">
        <f>IFERROR(VLOOKUP(N345,Merchant_Daily!$A:$B,2,FALSE),0)</f>
        <v>49</v>
      </c>
      <c r="P345" s="4" t="str">
        <f t="shared" si="3"/>
        <v>Standard Merchant Day</v>
      </c>
    </row>
    <row r="346">
      <c r="A346" s="1" t="s">
        <v>916</v>
      </c>
      <c r="B346" s="1">
        <v>82.0</v>
      </c>
      <c r="C346" s="1">
        <v>32.0</v>
      </c>
      <c r="D346" s="3">
        <v>46046.425</v>
      </c>
      <c r="E346" s="1">
        <v>49.0</v>
      </c>
      <c r="F346" s="1" t="s">
        <v>35</v>
      </c>
      <c r="G346" s="1" t="s">
        <v>27</v>
      </c>
      <c r="H346" s="1">
        <v>65.0</v>
      </c>
      <c r="I346" s="4" t="str">
        <f>IFERROR(VLOOKUP(C346,Merchants!$A$2:$D$41,2,FALSE),"Merchant not found")</f>
        <v>Merchant_032</v>
      </c>
      <c r="J346" s="4" t="str">
        <f>IFERROR(VLOOKUP(C346,Merchants!$A$2:$D$41,3,FALSE),"Merchant not found")</f>
        <v>food_delivery</v>
      </c>
      <c r="K346" s="4" t="str">
        <f>IFERROR(VLOOKUP(C346,Merchants!$A$2:$D$41,4,FALSE),"Merchant not found")</f>
        <v>West</v>
      </c>
      <c r="L346" s="4">
        <f>IFERROR(HLOOKUP(F346,Fee_Lookup!$B$1:$E$2,2,FALSE),"Fee not found")</f>
        <v>0</v>
      </c>
      <c r="M346" s="5">
        <f t="shared" si="1"/>
        <v>46046</v>
      </c>
      <c r="N346" s="4" t="str">
        <f t="shared" si="2"/>
        <v>32|2026-01-24</v>
      </c>
      <c r="O346" s="4">
        <f>IFERROR(VLOOKUP(N346,Merchant_Daily!$A:$B,2,FALSE),0)</f>
        <v>49</v>
      </c>
      <c r="P346" s="4" t="str">
        <f t="shared" si="3"/>
        <v>Standard Merchant Day</v>
      </c>
    </row>
    <row r="347">
      <c r="A347" s="1" t="s">
        <v>917</v>
      </c>
      <c r="B347" s="1">
        <v>158.0</v>
      </c>
      <c r="C347" s="1">
        <v>32.0</v>
      </c>
      <c r="D347" s="3">
        <v>46037.66388888889</v>
      </c>
      <c r="E347" s="1">
        <v>99.0</v>
      </c>
      <c r="F347" s="1" t="s">
        <v>26</v>
      </c>
      <c r="G347" s="1" t="s">
        <v>27</v>
      </c>
      <c r="H347" s="1">
        <v>2.0</v>
      </c>
      <c r="I347" s="4" t="str">
        <f>IFERROR(VLOOKUP(C347,Merchants!$A$2:$D$41,2,FALSE),"Merchant not found")</f>
        <v>Merchant_032</v>
      </c>
      <c r="J347" s="4" t="str">
        <f>IFERROR(VLOOKUP(C347,Merchants!$A$2:$D$41,3,FALSE),"Merchant not found")</f>
        <v>food_delivery</v>
      </c>
      <c r="K347" s="4" t="str">
        <f>IFERROR(VLOOKUP(C347,Merchants!$A$2:$D$41,4,FALSE),"Merchant not found")</f>
        <v>West</v>
      </c>
      <c r="L347" s="4">
        <f>IFERROR(HLOOKUP(F347,Fee_Lookup!$B$1:$E$2,2,FALSE),"Fee not found")</f>
        <v>0.005</v>
      </c>
      <c r="M347" s="5">
        <f t="shared" si="1"/>
        <v>46037</v>
      </c>
      <c r="N347" s="4" t="str">
        <f t="shared" si="2"/>
        <v>32|2026-01-15</v>
      </c>
      <c r="O347" s="4">
        <f>IFERROR(VLOOKUP(N347,Merchant_Daily!$A:$B,2,FALSE),0)</f>
        <v>148</v>
      </c>
      <c r="P347" s="4" t="str">
        <f t="shared" si="3"/>
        <v>Standard Merchant Day</v>
      </c>
    </row>
    <row r="348">
      <c r="A348" s="1" t="s">
        <v>918</v>
      </c>
      <c r="B348" s="1">
        <v>235.0</v>
      </c>
      <c r="C348" s="1">
        <v>16.0</v>
      </c>
      <c r="D348" s="3">
        <v>46025.52222222222</v>
      </c>
      <c r="E348" s="1">
        <v>99.0</v>
      </c>
      <c r="F348" s="1" t="s">
        <v>35</v>
      </c>
      <c r="G348" s="1" t="s">
        <v>27</v>
      </c>
      <c r="H348" s="1">
        <v>27.0</v>
      </c>
      <c r="I348" s="4" t="str">
        <f>IFERROR(VLOOKUP(C348,Merchants!$A$2:$D$41,2,FALSE),"Merchant not found")</f>
        <v>Merchant_016</v>
      </c>
      <c r="J348" s="4" t="str">
        <f>IFERROR(VLOOKUP(C348,Merchants!$A$2:$D$41,3,FALSE),"Merchant not found")</f>
        <v>bill_payment</v>
      </c>
      <c r="K348" s="4" t="str">
        <f>IFERROR(VLOOKUP(C348,Merchants!$A$2:$D$41,4,FALSE),"Merchant not found")</f>
        <v>West</v>
      </c>
      <c r="L348" s="4">
        <f>IFERROR(HLOOKUP(F348,Fee_Lookup!$B$1:$E$2,2,FALSE),"Fee not found")</f>
        <v>0</v>
      </c>
      <c r="M348" s="5">
        <f t="shared" si="1"/>
        <v>46025</v>
      </c>
      <c r="N348" s="4" t="str">
        <f t="shared" si="2"/>
        <v>16|2026-01-03</v>
      </c>
      <c r="O348" s="4">
        <f>IFERROR(VLOOKUP(N348,Merchant_Daily!$A:$B,2,FALSE),0)</f>
        <v>99</v>
      </c>
      <c r="P348" s="4" t="str">
        <f t="shared" si="3"/>
        <v>Standard Merchant Day</v>
      </c>
    </row>
    <row r="349">
      <c r="A349" s="1" t="s">
        <v>919</v>
      </c>
      <c r="B349" s="1">
        <v>26.0</v>
      </c>
      <c r="C349" s="1">
        <v>19.0</v>
      </c>
      <c r="D349" s="3">
        <v>46041.46041666667</v>
      </c>
      <c r="E349" s="1">
        <v>99.0</v>
      </c>
      <c r="F349" s="1" t="s">
        <v>26</v>
      </c>
      <c r="G349" s="1" t="s">
        <v>27</v>
      </c>
      <c r="H349" s="1">
        <v>63.0</v>
      </c>
      <c r="I349" s="4" t="str">
        <f>IFERROR(VLOOKUP(C349,Merchants!$A$2:$D$41,2,FALSE),"Merchant not found")</f>
        <v>Merchant_019</v>
      </c>
      <c r="J349" s="4" t="str">
        <f>IFERROR(VLOOKUP(C349,Merchants!$A$2:$D$41,3,FALSE),"Merchant not found")</f>
        <v>grocery</v>
      </c>
      <c r="K349" s="4" t="str">
        <f>IFERROR(VLOOKUP(C349,Merchants!$A$2:$D$41,4,FALSE),"Merchant not found")</f>
        <v>North</v>
      </c>
      <c r="L349" s="4">
        <f>IFERROR(HLOOKUP(F349,Fee_Lookup!$B$1:$E$2,2,FALSE),"Fee not found")</f>
        <v>0.005</v>
      </c>
      <c r="M349" s="5">
        <f t="shared" si="1"/>
        <v>46041</v>
      </c>
      <c r="N349" s="4" t="str">
        <f t="shared" si="2"/>
        <v>19|2026-01-19</v>
      </c>
      <c r="O349" s="4">
        <f>IFERROR(VLOOKUP(N349,Merchant_Daily!$A:$B,2,FALSE),0)</f>
        <v>99</v>
      </c>
      <c r="P349" s="4" t="str">
        <f t="shared" si="3"/>
        <v>Standard Merchant Day</v>
      </c>
    </row>
    <row r="350">
      <c r="A350" s="1" t="s">
        <v>920</v>
      </c>
      <c r="B350" s="1">
        <v>241.0</v>
      </c>
      <c r="C350" s="1">
        <v>19.0</v>
      </c>
      <c r="D350" s="3">
        <v>46042.86319444444</v>
      </c>
      <c r="E350" s="1">
        <v>299.0</v>
      </c>
      <c r="F350" s="1" t="s">
        <v>35</v>
      </c>
      <c r="G350" s="1" t="s">
        <v>27</v>
      </c>
      <c r="H350" s="1">
        <v>68.0</v>
      </c>
      <c r="I350" s="4" t="str">
        <f>IFERROR(VLOOKUP(C350,Merchants!$A$2:$D$41,2,FALSE),"Merchant not found")</f>
        <v>Merchant_019</v>
      </c>
      <c r="J350" s="4" t="str">
        <f>IFERROR(VLOOKUP(C350,Merchants!$A$2:$D$41,3,FALSE),"Merchant not found")</f>
        <v>grocery</v>
      </c>
      <c r="K350" s="4" t="str">
        <f>IFERROR(VLOOKUP(C350,Merchants!$A$2:$D$41,4,FALSE),"Merchant not found")</f>
        <v>North</v>
      </c>
      <c r="L350" s="4">
        <f>IFERROR(HLOOKUP(F350,Fee_Lookup!$B$1:$E$2,2,FALSE),"Fee not found")</f>
        <v>0</v>
      </c>
      <c r="M350" s="5">
        <f t="shared" si="1"/>
        <v>46042</v>
      </c>
      <c r="N350" s="4" t="str">
        <f t="shared" si="2"/>
        <v>19|2026-01-20</v>
      </c>
      <c r="O350" s="4">
        <f>IFERROR(VLOOKUP(N350,Merchant_Daily!$A:$B,2,FALSE),0)</f>
        <v>348</v>
      </c>
      <c r="P350" s="4" t="str">
        <f t="shared" si="3"/>
        <v>Standard Merchant Day</v>
      </c>
    </row>
    <row r="351">
      <c r="A351" s="1" t="s">
        <v>921</v>
      </c>
      <c r="B351" s="1">
        <v>69.0</v>
      </c>
      <c r="C351" s="1">
        <v>17.0</v>
      </c>
      <c r="D351" s="3">
        <v>46023.14375</v>
      </c>
      <c r="E351" s="1">
        <v>1499.0</v>
      </c>
      <c r="F351" s="1" t="s">
        <v>35</v>
      </c>
      <c r="G351" s="1" t="s">
        <v>27</v>
      </c>
      <c r="H351" s="1">
        <v>93.0</v>
      </c>
      <c r="I351" s="4" t="str">
        <f>IFERROR(VLOOKUP(C351,Merchants!$A$2:$D$41,2,FALSE),"Merchant not found")</f>
        <v>Merchant_017</v>
      </c>
      <c r="J351" s="4" t="str">
        <f>IFERROR(VLOOKUP(C351,Merchants!$A$2:$D$41,3,FALSE),"Merchant not found")</f>
        <v>grocery</v>
      </c>
      <c r="K351" s="4" t="str">
        <f>IFERROR(VLOOKUP(C351,Merchants!$A$2:$D$41,4,FALSE),"Merchant not found")</f>
        <v>North</v>
      </c>
      <c r="L351" s="4">
        <f>IFERROR(HLOOKUP(F351,Fee_Lookup!$B$1:$E$2,2,FALSE),"Fee not found")</f>
        <v>0</v>
      </c>
      <c r="M351" s="5">
        <f t="shared" si="1"/>
        <v>46023</v>
      </c>
      <c r="N351" s="4" t="str">
        <f t="shared" si="2"/>
        <v>17|2026-01-01</v>
      </c>
      <c r="O351" s="4">
        <f>IFERROR(VLOOKUP(N351,Merchant_Daily!$A:$B,2,FALSE),0)</f>
        <v>1499</v>
      </c>
      <c r="P351" s="4" t="str">
        <f t="shared" si="3"/>
        <v>Standard Merchant Day</v>
      </c>
    </row>
    <row r="352">
      <c r="A352" s="1" t="s">
        <v>922</v>
      </c>
      <c r="B352" s="1">
        <v>24.0</v>
      </c>
      <c r="C352" s="1">
        <v>26.0</v>
      </c>
      <c r="D352" s="3">
        <v>46034.51597222222</v>
      </c>
      <c r="E352" s="1">
        <v>299.0</v>
      </c>
      <c r="F352" s="1" t="s">
        <v>47</v>
      </c>
      <c r="G352" s="1" t="s">
        <v>27</v>
      </c>
      <c r="H352" s="1">
        <v>6.0</v>
      </c>
      <c r="I352" s="4" t="str">
        <f>IFERROR(VLOOKUP(C352,Merchants!$A$2:$D$41,2,FALSE),"Merchant not found")</f>
        <v>Merchant_026</v>
      </c>
      <c r="J352" s="4" t="str">
        <f>IFERROR(VLOOKUP(C352,Merchants!$A$2:$D$41,3,FALSE),"Merchant not found")</f>
        <v>food_delivery</v>
      </c>
      <c r="K352" s="4" t="str">
        <f>IFERROR(VLOOKUP(C352,Merchants!$A$2:$D$41,4,FALSE),"Merchant not found")</f>
        <v>East</v>
      </c>
      <c r="L352" s="4">
        <f>IFERROR(HLOOKUP(F352,Fee_Lookup!$B$1:$E$2,2,FALSE),"Fee not found")</f>
        <v>0.015</v>
      </c>
      <c r="M352" s="5">
        <f t="shared" si="1"/>
        <v>46034</v>
      </c>
      <c r="N352" s="4" t="str">
        <f t="shared" si="2"/>
        <v>26|2026-01-12</v>
      </c>
      <c r="O352" s="4">
        <f>IFERROR(VLOOKUP(N352,Merchant_Daily!$A:$B,2,FALSE),0)</f>
        <v>299</v>
      </c>
      <c r="P352" s="4" t="str">
        <f t="shared" si="3"/>
        <v>Standard Merchant Day</v>
      </c>
    </row>
    <row r="353">
      <c r="A353" s="1" t="s">
        <v>923</v>
      </c>
      <c r="B353" s="1">
        <v>186.0</v>
      </c>
      <c r="C353" s="1">
        <v>36.0</v>
      </c>
      <c r="D353" s="3">
        <v>46041.71666666667</v>
      </c>
      <c r="E353" s="1">
        <v>4999.0</v>
      </c>
      <c r="F353" s="1" t="s">
        <v>35</v>
      </c>
      <c r="G353" s="1" t="s">
        <v>27</v>
      </c>
      <c r="H353" s="1">
        <v>36.0</v>
      </c>
      <c r="I353" s="4" t="str">
        <f>IFERROR(VLOOKUP(C353,Merchants!$A$2:$D$41,2,FALSE),"Merchant not found")</f>
        <v>Merchant_036</v>
      </c>
      <c r="J353" s="4" t="str">
        <f>IFERROR(VLOOKUP(C353,Merchants!$A$2:$D$41,3,FALSE),"Merchant not found")</f>
        <v>entertainment</v>
      </c>
      <c r="K353" s="4" t="str">
        <f>IFERROR(VLOOKUP(C353,Merchants!$A$2:$D$41,4,FALSE),"Merchant not found")</f>
        <v>East</v>
      </c>
      <c r="L353" s="4">
        <f>IFERROR(HLOOKUP(F353,Fee_Lookup!$B$1:$E$2,2,FALSE),"Fee not found")</f>
        <v>0</v>
      </c>
      <c r="M353" s="5">
        <f t="shared" si="1"/>
        <v>46041</v>
      </c>
      <c r="N353" s="4" t="str">
        <f t="shared" si="2"/>
        <v>36|2026-01-19</v>
      </c>
      <c r="O353" s="4">
        <f>IFERROR(VLOOKUP(N353,Merchant_Daily!$A:$B,2,FALSE),0)</f>
        <v>4999</v>
      </c>
      <c r="P353" s="4" t="str">
        <f t="shared" si="3"/>
        <v>Standard Merchant Day</v>
      </c>
    </row>
    <row r="354">
      <c r="A354" s="1" t="s">
        <v>924</v>
      </c>
      <c r="B354" s="1">
        <v>231.0</v>
      </c>
      <c r="C354" s="1">
        <v>36.0</v>
      </c>
      <c r="D354" s="3">
        <v>46025.52222222222</v>
      </c>
      <c r="E354" s="1">
        <v>149.0</v>
      </c>
      <c r="F354" s="1" t="s">
        <v>35</v>
      </c>
      <c r="G354" s="1" t="s">
        <v>27</v>
      </c>
      <c r="H354" s="1">
        <v>35.0</v>
      </c>
      <c r="I354" s="4" t="str">
        <f>IFERROR(VLOOKUP(C354,Merchants!$A$2:$D$41,2,FALSE),"Merchant not found")</f>
        <v>Merchant_036</v>
      </c>
      <c r="J354" s="4" t="str">
        <f>IFERROR(VLOOKUP(C354,Merchants!$A$2:$D$41,3,FALSE),"Merchant not found")</f>
        <v>entertainment</v>
      </c>
      <c r="K354" s="4" t="str">
        <f>IFERROR(VLOOKUP(C354,Merchants!$A$2:$D$41,4,FALSE),"Merchant not found")</f>
        <v>East</v>
      </c>
      <c r="L354" s="4">
        <f>IFERROR(HLOOKUP(F354,Fee_Lookup!$B$1:$E$2,2,FALSE),"Fee not found")</f>
        <v>0</v>
      </c>
      <c r="M354" s="5">
        <f t="shared" si="1"/>
        <v>46025</v>
      </c>
      <c r="N354" s="4" t="str">
        <f t="shared" si="2"/>
        <v>36|2026-01-03</v>
      </c>
      <c r="O354" s="4">
        <f>IFERROR(VLOOKUP(N354,Merchant_Daily!$A:$B,2,FALSE),0)</f>
        <v>248</v>
      </c>
      <c r="P354" s="4" t="str">
        <f t="shared" si="3"/>
        <v>Standard Merchant Day</v>
      </c>
    </row>
    <row r="355">
      <c r="A355" s="1" t="s">
        <v>925</v>
      </c>
      <c r="B355" s="1">
        <v>313.0</v>
      </c>
      <c r="C355" s="1">
        <v>8.0</v>
      </c>
      <c r="D355" s="3">
        <v>46049.82152777778</v>
      </c>
      <c r="E355" s="1">
        <v>1499.0</v>
      </c>
      <c r="F355" s="1" t="s">
        <v>47</v>
      </c>
      <c r="G355" s="1" t="s">
        <v>27</v>
      </c>
      <c r="H355" s="1">
        <v>16.0</v>
      </c>
      <c r="I355" s="4" t="str">
        <f>IFERROR(VLOOKUP(C355,Merchants!$A$2:$D$41,2,FALSE),"Merchant not found")</f>
        <v>Merchant_008</v>
      </c>
      <c r="J355" s="4" t="str">
        <f>IFERROR(VLOOKUP(C355,Merchants!$A$2:$D$41,3,FALSE),"Merchant not found")</f>
        <v>food_delivery</v>
      </c>
      <c r="K355" s="4" t="str">
        <f>IFERROR(VLOOKUP(C355,Merchants!$A$2:$D$41,4,FALSE),"Merchant not found")</f>
        <v>North</v>
      </c>
      <c r="L355" s="4">
        <f>IFERROR(HLOOKUP(F355,Fee_Lookup!$B$1:$E$2,2,FALSE),"Fee not found")</f>
        <v>0.015</v>
      </c>
      <c r="M355" s="5">
        <f t="shared" si="1"/>
        <v>46049</v>
      </c>
      <c r="N355" s="4" t="str">
        <f t="shared" si="2"/>
        <v>8|2026-01-27</v>
      </c>
      <c r="O355" s="4">
        <f>IFERROR(VLOOKUP(N355,Merchant_Daily!$A:$B,2,FALSE),0)</f>
        <v>1499</v>
      </c>
      <c r="P355" s="4" t="str">
        <f t="shared" si="3"/>
        <v>Standard Merchant Day</v>
      </c>
    </row>
    <row r="356">
      <c r="A356" s="1" t="s">
        <v>926</v>
      </c>
      <c r="B356" s="1">
        <v>174.0</v>
      </c>
      <c r="C356" s="1">
        <v>36.0</v>
      </c>
      <c r="D356" s="3">
        <v>46026.51597222222</v>
      </c>
      <c r="E356" s="1">
        <v>149.0</v>
      </c>
      <c r="F356" s="1" t="s">
        <v>35</v>
      </c>
      <c r="G356" s="1" t="s">
        <v>27</v>
      </c>
      <c r="H356" s="1">
        <v>46.0</v>
      </c>
      <c r="I356" s="4" t="str">
        <f>IFERROR(VLOOKUP(C356,Merchants!$A$2:$D$41,2,FALSE),"Merchant not found")</f>
        <v>Merchant_036</v>
      </c>
      <c r="J356" s="4" t="str">
        <f>IFERROR(VLOOKUP(C356,Merchants!$A$2:$D$41,3,FALSE),"Merchant not found")</f>
        <v>entertainment</v>
      </c>
      <c r="K356" s="4" t="str">
        <f>IFERROR(VLOOKUP(C356,Merchants!$A$2:$D$41,4,FALSE),"Merchant not found")</f>
        <v>East</v>
      </c>
      <c r="L356" s="4">
        <f>IFERROR(HLOOKUP(F356,Fee_Lookup!$B$1:$E$2,2,FALSE),"Fee not found")</f>
        <v>0</v>
      </c>
      <c r="M356" s="5">
        <f t="shared" si="1"/>
        <v>46026</v>
      </c>
      <c r="N356" s="4" t="str">
        <f t="shared" si="2"/>
        <v>36|2026-01-04</v>
      </c>
      <c r="O356" s="4">
        <f>IFERROR(VLOOKUP(N356,Merchant_Daily!$A:$B,2,FALSE),0)</f>
        <v>149</v>
      </c>
      <c r="P356" s="4" t="str">
        <f t="shared" si="3"/>
        <v>Standard Merchant Day</v>
      </c>
    </row>
    <row r="357">
      <c r="A357" s="1" t="s">
        <v>927</v>
      </c>
      <c r="B357" s="1">
        <v>309.0</v>
      </c>
      <c r="C357" s="1">
        <v>33.0</v>
      </c>
      <c r="D357" s="3">
        <v>46047.175</v>
      </c>
      <c r="E357" s="1">
        <v>99.0</v>
      </c>
      <c r="F357" s="1" t="s">
        <v>35</v>
      </c>
      <c r="G357" s="1" t="s">
        <v>27</v>
      </c>
      <c r="H357" s="1">
        <v>51.0</v>
      </c>
      <c r="I357" s="4" t="str">
        <f>IFERROR(VLOOKUP(C357,Merchants!$A$2:$D$41,2,FALSE),"Merchant not found")</f>
        <v>Merchant_033</v>
      </c>
      <c r="J357" s="4" t="str">
        <f>IFERROR(VLOOKUP(C357,Merchants!$A$2:$D$41,3,FALSE),"Merchant not found")</f>
        <v>bill_payment</v>
      </c>
      <c r="K357" s="4" t="str">
        <f>IFERROR(VLOOKUP(C357,Merchants!$A$2:$D$41,4,FALSE),"Merchant not found")</f>
        <v>East</v>
      </c>
      <c r="L357" s="4">
        <f>IFERROR(HLOOKUP(F357,Fee_Lookup!$B$1:$E$2,2,FALSE),"Fee not found")</f>
        <v>0</v>
      </c>
      <c r="M357" s="5">
        <f t="shared" si="1"/>
        <v>46047</v>
      </c>
      <c r="N357" s="4" t="str">
        <f t="shared" si="2"/>
        <v>33|2026-01-25</v>
      </c>
      <c r="O357" s="4">
        <f>IFERROR(VLOOKUP(N357,Merchant_Daily!$A:$B,2,FALSE),0)</f>
        <v>99</v>
      </c>
      <c r="P357" s="4" t="str">
        <f t="shared" si="3"/>
        <v>Standard Merchant Day</v>
      </c>
    </row>
    <row r="358">
      <c r="A358" s="1" t="s">
        <v>928</v>
      </c>
      <c r="B358" s="1">
        <v>20.0</v>
      </c>
      <c r="C358" s="1">
        <v>9.0</v>
      </c>
      <c r="D358" s="3">
        <v>46039.04305555556</v>
      </c>
      <c r="E358" s="1">
        <v>99.0</v>
      </c>
      <c r="F358" s="1" t="s">
        <v>35</v>
      </c>
      <c r="G358" s="1" t="s">
        <v>27</v>
      </c>
      <c r="H358" s="1">
        <v>91.0</v>
      </c>
      <c r="I358" s="4" t="str">
        <f>IFERROR(VLOOKUP(C358,Merchants!$A$2:$D$41,2,FALSE),"Merchant not found")</f>
        <v>Merchant_009</v>
      </c>
      <c r="J358" s="4" t="str">
        <f>IFERROR(VLOOKUP(C358,Merchants!$A$2:$D$41,3,FALSE),"Merchant not found")</f>
        <v>ecommerce</v>
      </c>
      <c r="K358" s="4" t="str">
        <f>IFERROR(VLOOKUP(C358,Merchants!$A$2:$D$41,4,FALSE),"Merchant not found")</f>
        <v>North</v>
      </c>
      <c r="L358" s="4">
        <f>IFERROR(HLOOKUP(F358,Fee_Lookup!$B$1:$E$2,2,FALSE),"Fee not found")</f>
        <v>0</v>
      </c>
      <c r="M358" s="5">
        <f t="shared" si="1"/>
        <v>46039</v>
      </c>
      <c r="N358" s="4" t="str">
        <f t="shared" si="2"/>
        <v>9|2026-01-17</v>
      </c>
      <c r="O358" s="4">
        <f>IFERROR(VLOOKUP(N358,Merchant_Daily!$A:$B,2,FALSE),0)</f>
        <v>248</v>
      </c>
      <c r="P358" s="4" t="str">
        <f t="shared" si="3"/>
        <v>Standard Merchant Day</v>
      </c>
    </row>
    <row r="359">
      <c r="A359" s="1" t="s">
        <v>929</v>
      </c>
      <c r="B359" s="1">
        <v>234.0</v>
      </c>
      <c r="C359" s="1">
        <v>10.0</v>
      </c>
      <c r="D359" s="3">
        <v>46033.64791666667</v>
      </c>
      <c r="E359" s="1">
        <v>49.0</v>
      </c>
      <c r="F359" s="1" t="s">
        <v>35</v>
      </c>
      <c r="G359" s="1" t="s">
        <v>27</v>
      </c>
      <c r="H359" s="1">
        <v>77.0</v>
      </c>
      <c r="I359" s="4" t="str">
        <f>IFERROR(VLOOKUP(C359,Merchants!$A$2:$D$41,2,FALSE),"Merchant not found")</f>
        <v>Merchant_010</v>
      </c>
      <c r="J359" s="4" t="str">
        <f>IFERROR(VLOOKUP(C359,Merchants!$A$2:$D$41,3,FALSE),"Merchant not found")</f>
        <v>grocery</v>
      </c>
      <c r="K359" s="4" t="str">
        <f>IFERROR(VLOOKUP(C359,Merchants!$A$2:$D$41,4,FALSE),"Merchant not found")</f>
        <v>West</v>
      </c>
      <c r="L359" s="4">
        <f>IFERROR(HLOOKUP(F359,Fee_Lookup!$B$1:$E$2,2,FALSE),"Fee not found")</f>
        <v>0</v>
      </c>
      <c r="M359" s="5">
        <f t="shared" si="1"/>
        <v>46033</v>
      </c>
      <c r="N359" s="4" t="str">
        <f t="shared" si="2"/>
        <v>10|2026-01-11</v>
      </c>
      <c r="O359" s="4">
        <f>IFERROR(VLOOKUP(N359,Merchant_Daily!$A:$B,2,FALSE),0)</f>
        <v>98</v>
      </c>
      <c r="P359" s="4" t="str">
        <f t="shared" si="3"/>
        <v>Standard Merchant Day</v>
      </c>
    </row>
    <row r="360">
      <c r="A360" s="1" t="s">
        <v>930</v>
      </c>
      <c r="B360" s="1">
        <v>168.0</v>
      </c>
      <c r="C360" s="1">
        <v>40.0</v>
      </c>
      <c r="D360" s="3">
        <v>46051.67222222222</v>
      </c>
      <c r="E360" s="1">
        <v>149.0</v>
      </c>
      <c r="F360" s="1" t="s">
        <v>35</v>
      </c>
      <c r="G360" s="1" t="s">
        <v>34</v>
      </c>
      <c r="H360" s="1">
        <v>40.0</v>
      </c>
      <c r="I360" s="4" t="str">
        <f>IFERROR(VLOOKUP(C360,Merchants!$A$2:$D$41,2,FALSE),"Merchant not found")</f>
        <v>Merchant_040</v>
      </c>
      <c r="J360" s="4" t="str">
        <f>IFERROR(VLOOKUP(C360,Merchants!$A$2:$D$41,3,FALSE),"Merchant not found")</f>
        <v>entertainment</v>
      </c>
      <c r="K360" s="4" t="str">
        <f>IFERROR(VLOOKUP(C360,Merchants!$A$2:$D$41,4,FALSE),"Merchant not found")</f>
        <v>South</v>
      </c>
      <c r="L360" s="4">
        <f>IFERROR(HLOOKUP(F360,Fee_Lookup!$B$1:$E$2,2,FALSE),"Fee not found")</f>
        <v>0</v>
      </c>
      <c r="M360" s="5">
        <f t="shared" si="1"/>
        <v>46051</v>
      </c>
      <c r="N360" s="4" t="str">
        <f t="shared" si="2"/>
        <v>40|2026-01-29</v>
      </c>
      <c r="O360" s="4">
        <f>IFERROR(VLOOKUP(N360,Merchant_Daily!$A:$B,2,FALSE),0)</f>
        <v>149</v>
      </c>
      <c r="P360" s="4" t="str">
        <f t="shared" si="3"/>
        <v>Standard Merchant Day</v>
      </c>
    </row>
    <row r="361">
      <c r="A361" s="1" t="s">
        <v>931</v>
      </c>
      <c r="B361" s="1">
        <v>154.0</v>
      </c>
      <c r="C361" s="1">
        <v>38.0</v>
      </c>
      <c r="D361" s="3">
        <v>46028.527083333334</v>
      </c>
      <c r="E361" s="1">
        <v>99.0</v>
      </c>
      <c r="F361" s="1" t="s">
        <v>47</v>
      </c>
      <c r="G361" s="1" t="s">
        <v>27</v>
      </c>
      <c r="H361" s="1">
        <v>43.0</v>
      </c>
      <c r="I361" s="4" t="str">
        <f>IFERROR(VLOOKUP(C361,Merchants!$A$2:$D$41,2,FALSE),"Merchant not found")</f>
        <v>Merchant_038</v>
      </c>
      <c r="J361" s="4" t="str">
        <f>IFERROR(VLOOKUP(C361,Merchants!$A$2:$D$41,3,FALSE),"Merchant not found")</f>
        <v>grocery</v>
      </c>
      <c r="K361" s="4" t="str">
        <f>IFERROR(VLOOKUP(C361,Merchants!$A$2:$D$41,4,FALSE),"Merchant not found")</f>
        <v>East</v>
      </c>
      <c r="L361" s="4">
        <f>IFERROR(HLOOKUP(F361,Fee_Lookup!$B$1:$E$2,2,FALSE),"Fee not found")</f>
        <v>0.015</v>
      </c>
      <c r="M361" s="5">
        <f t="shared" si="1"/>
        <v>46028</v>
      </c>
      <c r="N361" s="4" t="str">
        <f t="shared" si="2"/>
        <v>38|2026-01-06</v>
      </c>
      <c r="O361" s="4">
        <f>IFERROR(VLOOKUP(N361,Merchant_Daily!$A:$B,2,FALSE),0)</f>
        <v>99</v>
      </c>
      <c r="P361" s="4" t="str">
        <f t="shared" si="3"/>
        <v>Standard Merchant Day</v>
      </c>
    </row>
    <row r="362">
      <c r="A362" s="1" t="s">
        <v>932</v>
      </c>
      <c r="B362" s="1">
        <v>251.0</v>
      </c>
      <c r="C362" s="1">
        <v>37.0</v>
      </c>
      <c r="D362" s="3">
        <v>46039.69027777778</v>
      </c>
      <c r="E362" s="1">
        <v>49.0</v>
      </c>
      <c r="F362" s="1" t="s">
        <v>35</v>
      </c>
      <c r="G362" s="1" t="s">
        <v>27</v>
      </c>
      <c r="H362" s="1">
        <v>38.0</v>
      </c>
      <c r="I362" s="4" t="str">
        <f>IFERROR(VLOOKUP(C362,Merchants!$A$2:$D$41,2,FALSE),"Merchant not found")</f>
        <v>Merchant_037</v>
      </c>
      <c r="J362" s="4" t="str">
        <f>IFERROR(VLOOKUP(C362,Merchants!$A$2:$D$41,3,FALSE),"Merchant not found")</f>
        <v>entertainment</v>
      </c>
      <c r="K362" s="4" t="str">
        <f>IFERROR(VLOOKUP(C362,Merchants!$A$2:$D$41,4,FALSE),"Merchant not found")</f>
        <v>South</v>
      </c>
      <c r="L362" s="4">
        <f>IFERROR(HLOOKUP(F362,Fee_Lookup!$B$1:$E$2,2,FALSE),"Fee not found")</f>
        <v>0</v>
      </c>
      <c r="M362" s="5">
        <f t="shared" si="1"/>
        <v>46039</v>
      </c>
      <c r="N362" s="4" t="str">
        <f t="shared" si="2"/>
        <v>37|2026-01-17</v>
      </c>
      <c r="O362" s="4">
        <f>IFERROR(VLOOKUP(N362,Merchant_Daily!$A:$B,2,FALSE),0)</f>
        <v>49</v>
      </c>
      <c r="P362" s="4" t="str">
        <f t="shared" si="3"/>
        <v>Standard Merchant Day</v>
      </c>
    </row>
    <row r="363">
      <c r="A363" s="1" t="s">
        <v>933</v>
      </c>
      <c r="B363" s="1">
        <v>170.0</v>
      </c>
      <c r="C363" s="1">
        <v>8.0</v>
      </c>
      <c r="D363" s="3">
        <v>46038.01597222222</v>
      </c>
      <c r="E363" s="1">
        <v>2999.0</v>
      </c>
      <c r="F363" s="1" t="s">
        <v>35</v>
      </c>
      <c r="G363" s="1" t="s">
        <v>27</v>
      </c>
      <c r="H363" s="1">
        <v>53.0</v>
      </c>
      <c r="I363" s="4" t="str">
        <f>IFERROR(VLOOKUP(C363,Merchants!$A$2:$D$41,2,FALSE),"Merchant not found")</f>
        <v>Merchant_008</v>
      </c>
      <c r="J363" s="4" t="str">
        <f>IFERROR(VLOOKUP(C363,Merchants!$A$2:$D$41,3,FALSE),"Merchant not found")</f>
        <v>food_delivery</v>
      </c>
      <c r="K363" s="4" t="str">
        <f>IFERROR(VLOOKUP(C363,Merchants!$A$2:$D$41,4,FALSE),"Merchant not found")</f>
        <v>North</v>
      </c>
      <c r="L363" s="4">
        <f>IFERROR(HLOOKUP(F363,Fee_Lookup!$B$1:$E$2,2,FALSE),"Fee not found")</f>
        <v>0</v>
      </c>
      <c r="M363" s="5">
        <f t="shared" si="1"/>
        <v>46038</v>
      </c>
      <c r="N363" s="4" t="str">
        <f t="shared" si="2"/>
        <v>8|2026-01-16</v>
      </c>
      <c r="O363" s="4">
        <f>IFERROR(VLOOKUP(N363,Merchant_Daily!$A:$B,2,FALSE),0)</f>
        <v>2999</v>
      </c>
      <c r="P363" s="4" t="str">
        <f t="shared" si="3"/>
        <v>Standard Merchant Day</v>
      </c>
    </row>
    <row r="364">
      <c r="A364" s="1" t="s">
        <v>934</v>
      </c>
      <c r="B364" s="1">
        <v>323.0</v>
      </c>
      <c r="C364" s="1">
        <v>2.0</v>
      </c>
      <c r="D364" s="3">
        <v>46041.40972222222</v>
      </c>
      <c r="E364" s="1">
        <v>49.0</v>
      </c>
      <c r="F364" s="1" t="s">
        <v>47</v>
      </c>
      <c r="G364" s="1" t="s">
        <v>27</v>
      </c>
      <c r="H364" s="1">
        <v>76.0</v>
      </c>
      <c r="I364" s="4" t="str">
        <f>IFERROR(VLOOKUP(C364,Merchants!$A$2:$D$41,2,FALSE),"Merchant not found")</f>
        <v>Merchant_002</v>
      </c>
      <c r="J364" s="4" t="str">
        <f>IFERROR(VLOOKUP(C364,Merchants!$A$2:$D$41,3,FALSE),"Merchant not found")</f>
        <v>grocery</v>
      </c>
      <c r="K364" s="4" t="str">
        <f>IFERROR(VLOOKUP(C364,Merchants!$A$2:$D$41,4,FALSE),"Merchant not found")</f>
        <v>West</v>
      </c>
      <c r="L364" s="4">
        <f>IFERROR(HLOOKUP(F364,Fee_Lookup!$B$1:$E$2,2,FALSE),"Fee not found")</f>
        <v>0.015</v>
      </c>
      <c r="M364" s="5">
        <f t="shared" si="1"/>
        <v>46041</v>
      </c>
      <c r="N364" s="4" t="str">
        <f t="shared" si="2"/>
        <v>2|2026-01-19</v>
      </c>
      <c r="O364" s="4">
        <f>IFERROR(VLOOKUP(N364,Merchant_Daily!$A:$B,2,FALSE),0)</f>
        <v>49</v>
      </c>
      <c r="P364" s="4" t="str">
        <f t="shared" si="3"/>
        <v>Standard Merchant Day</v>
      </c>
    </row>
    <row r="365">
      <c r="A365" s="1" t="s">
        <v>935</v>
      </c>
      <c r="B365" s="1">
        <v>297.0</v>
      </c>
      <c r="C365" s="1">
        <v>37.0</v>
      </c>
      <c r="D365" s="3">
        <v>46038.361805555556</v>
      </c>
      <c r="E365" s="1">
        <v>2999.0</v>
      </c>
      <c r="F365" s="1" t="s">
        <v>26</v>
      </c>
      <c r="G365" s="1" t="s">
        <v>27</v>
      </c>
      <c r="H365" s="1">
        <v>29.0</v>
      </c>
      <c r="I365" s="4" t="str">
        <f>IFERROR(VLOOKUP(C365,Merchants!$A$2:$D$41,2,FALSE),"Merchant not found")</f>
        <v>Merchant_037</v>
      </c>
      <c r="J365" s="4" t="str">
        <f>IFERROR(VLOOKUP(C365,Merchants!$A$2:$D$41,3,FALSE),"Merchant not found")</f>
        <v>entertainment</v>
      </c>
      <c r="K365" s="4" t="str">
        <f>IFERROR(VLOOKUP(C365,Merchants!$A$2:$D$41,4,FALSE),"Merchant not found")</f>
        <v>South</v>
      </c>
      <c r="L365" s="4">
        <f>IFERROR(HLOOKUP(F365,Fee_Lookup!$B$1:$E$2,2,FALSE),"Fee not found")</f>
        <v>0.005</v>
      </c>
      <c r="M365" s="5">
        <f t="shared" si="1"/>
        <v>46038</v>
      </c>
      <c r="N365" s="4" t="str">
        <f t="shared" si="2"/>
        <v>37|2026-01-16</v>
      </c>
      <c r="O365" s="4">
        <f>IFERROR(VLOOKUP(N365,Merchant_Daily!$A:$B,2,FALSE),0)</f>
        <v>2999</v>
      </c>
      <c r="P365" s="4" t="str">
        <f t="shared" si="3"/>
        <v>Standard Merchant Day</v>
      </c>
    </row>
    <row r="366">
      <c r="A366" s="1" t="s">
        <v>936</v>
      </c>
      <c r="B366" s="1">
        <v>246.0</v>
      </c>
      <c r="C366" s="1">
        <v>11.0</v>
      </c>
      <c r="D366" s="3">
        <v>46046.06736111111</v>
      </c>
      <c r="E366" s="1">
        <v>299.0</v>
      </c>
      <c r="F366" s="1" t="s">
        <v>35</v>
      </c>
      <c r="G366" s="1" t="s">
        <v>27</v>
      </c>
      <c r="H366" s="1">
        <v>67.0</v>
      </c>
      <c r="I366" s="4" t="str">
        <f>IFERROR(VLOOKUP(C366,Merchants!$A$2:$D$41,2,FALSE),"Merchant not found")</f>
        <v>Merchant_011</v>
      </c>
      <c r="J366" s="4" t="str">
        <f>IFERROR(VLOOKUP(C366,Merchants!$A$2:$D$41,3,FALSE),"Merchant not found")</f>
        <v>ecommerce</v>
      </c>
      <c r="K366" s="4" t="str">
        <f>IFERROR(VLOOKUP(C366,Merchants!$A$2:$D$41,4,FALSE),"Merchant not found")</f>
        <v>North</v>
      </c>
      <c r="L366" s="4">
        <f>IFERROR(HLOOKUP(F366,Fee_Lookup!$B$1:$E$2,2,FALSE),"Fee not found")</f>
        <v>0</v>
      </c>
      <c r="M366" s="5">
        <f t="shared" si="1"/>
        <v>46046</v>
      </c>
      <c r="N366" s="4" t="str">
        <f t="shared" si="2"/>
        <v>11|2026-01-24</v>
      </c>
      <c r="O366" s="4">
        <f>IFERROR(VLOOKUP(N366,Merchant_Daily!$A:$B,2,FALSE),0)</f>
        <v>1798</v>
      </c>
      <c r="P366" s="4" t="str">
        <f t="shared" si="3"/>
        <v>Standard Merchant Day</v>
      </c>
    </row>
    <row r="367">
      <c r="A367" s="1" t="s">
        <v>937</v>
      </c>
      <c r="B367" s="1">
        <v>195.0</v>
      </c>
      <c r="C367" s="1">
        <v>10.0</v>
      </c>
      <c r="D367" s="3">
        <v>46043.98541666667</v>
      </c>
      <c r="E367" s="1">
        <v>99.0</v>
      </c>
      <c r="F367" s="1" t="s">
        <v>35</v>
      </c>
      <c r="G367" s="1" t="s">
        <v>27</v>
      </c>
      <c r="H367" s="1">
        <v>87.0</v>
      </c>
      <c r="I367" s="4" t="str">
        <f>IFERROR(VLOOKUP(C367,Merchants!$A$2:$D$41,2,FALSE),"Merchant not found")</f>
        <v>Merchant_010</v>
      </c>
      <c r="J367" s="4" t="str">
        <f>IFERROR(VLOOKUP(C367,Merchants!$A$2:$D$41,3,FALSE),"Merchant not found")</f>
        <v>grocery</v>
      </c>
      <c r="K367" s="4" t="str">
        <f>IFERROR(VLOOKUP(C367,Merchants!$A$2:$D$41,4,FALSE),"Merchant not found")</f>
        <v>West</v>
      </c>
      <c r="L367" s="4">
        <f>IFERROR(HLOOKUP(F367,Fee_Lookup!$B$1:$E$2,2,FALSE),"Fee not found")</f>
        <v>0</v>
      </c>
      <c r="M367" s="5">
        <f t="shared" si="1"/>
        <v>46043</v>
      </c>
      <c r="N367" s="4" t="str">
        <f t="shared" si="2"/>
        <v>10|2026-01-21</v>
      </c>
      <c r="O367" s="4">
        <f>IFERROR(VLOOKUP(N367,Merchant_Daily!$A:$B,2,FALSE),0)</f>
        <v>398</v>
      </c>
      <c r="P367" s="4" t="str">
        <f t="shared" si="3"/>
        <v>Standard Merchant Day</v>
      </c>
    </row>
    <row r="368">
      <c r="A368" s="1" t="s">
        <v>938</v>
      </c>
      <c r="B368" s="1">
        <v>57.0</v>
      </c>
      <c r="C368" s="1">
        <v>13.0</v>
      </c>
      <c r="D368" s="3">
        <v>46030.066666666666</v>
      </c>
      <c r="E368" s="1">
        <v>149.0</v>
      </c>
      <c r="F368" s="1" t="s">
        <v>35</v>
      </c>
      <c r="G368" s="1" t="s">
        <v>27</v>
      </c>
      <c r="H368" s="1">
        <v>2.0</v>
      </c>
      <c r="I368" s="4" t="str">
        <f>IFERROR(VLOOKUP(C368,Merchants!$A$2:$D$41,2,FALSE),"Merchant not found")</f>
        <v>Merchant_013</v>
      </c>
      <c r="J368" s="4" t="str">
        <f>IFERROR(VLOOKUP(C368,Merchants!$A$2:$D$41,3,FALSE),"Merchant not found")</f>
        <v>travel</v>
      </c>
      <c r="K368" s="4" t="str">
        <f>IFERROR(VLOOKUP(C368,Merchants!$A$2:$D$41,4,FALSE),"Merchant not found")</f>
        <v>East</v>
      </c>
      <c r="L368" s="4">
        <f>IFERROR(HLOOKUP(F368,Fee_Lookup!$B$1:$E$2,2,FALSE),"Fee not found")</f>
        <v>0</v>
      </c>
      <c r="M368" s="5">
        <f t="shared" si="1"/>
        <v>46030</v>
      </c>
      <c r="N368" s="4" t="str">
        <f t="shared" si="2"/>
        <v>13|2026-01-08</v>
      </c>
      <c r="O368" s="4">
        <f>IFERROR(VLOOKUP(N368,Merchant_Daily!$A:$B,2,FALSE),0)</f>
        <v>149</v>
      </c>
      <c r="P368" s="4" t="str">
        <f t="shared" si="3"/>
        <v>Standard Merchant Day</v>
      </c>
    </row>
    <row r="369">
      <c r="A369" s="1" t="s">
        <v>939</v>
      </c>
      <c r="B369" s="1">
        <v>78.0</v>
      </c>
      <c r="C369" s="1">
        <v>27.0</v>
      </c>
      <c r="D369" s="3">
        <v>46037.43472222222</v>
      </c>
      <c r="E369" s="1">
        <v>1499.0</v>
      </c>
      <c r="F369" s="1" t="s">
        <v>47</v>
      </c>
      <c r="G369" s="1" t="s">
        <v>30</v>
      </c>
      <c r="H369" s="1">
        <v>88.0</v>
      </c>
      <c r="I369" s="4" t="str">
        <f>IFERROR(VLOOKUP(C369,Merchants!$A$2:$D$41,2,FALSE),"Merchant not found")</f>
        <v>Merchant_027</v>
      </c>
      <c r="J369" s="4" t="str">
        <f>IFERROR(VLOOKUP(C369,Merchants!$A$2:$D$41,3,FALSE),"Merchant not found")</f>
        <v>ecommerce</v>
      </c>
      <c r="K369" s="4" t="str">
        <f>IFERROR(VLOOKUP(C369,Merchants!$A$2:$D$41,4,FALSE),"Merchant not found")</f>
        <v>North</v>
      </c>
      <c r="L369" s="4">
        <f>IFERROR(HLOOKUP(F369,Fee_Lookup!$B$1:$E$2,2,FALSE),"Fee not found")</f>
        <v>0.015</v>
      </c>
      <c r="M369" s="5">
        <f t="shared" si="1"/>
        <v>46037</v>
      </c>
      <c r="N369" s="4" t="str">
        <f t="shared" si="2"/>
        <v>27|2026-01-15</v>
      </c>
      <c r="O369" s="4">
        <f>IFERROR(VLOOKUP(N369,Merchant_Daily!$A:$B,2,FALSE),0)</f>
        <v>1499</v>
      </c>
      <c r="P369" s="4" t="str">
        <f t="shared" si="3"/>
        <v>Standard Merchant Day</v>
      </c>
    </row>
    <row r="370">
      <c r="A370" s="1" t="s">
        <v>940</v>
      </c>
      <c r="B370" s="1">
        <v>314.0</v>
      </c>
      <c r="C370" s="1">
        <v>31.0</v>
      </c>
      <c r="D370" s="3">
        <v>46029.563888888886</v>
      </c>
      <c r="E370" s="1">
        <v>49.0</v>
      </c>
      <c r="F370" s="1" t="s">
        <v>35</v>
      </c>
      <c r="G370" s="1" t="s">
        <v>34</v>
      </c>
      <c r="H370" s="1">
        <v>94.0</v>
      </c>
      <c r="I370" s="4" t="str">
        <f>IFERROR(VLOOKUP(C370,Merchants!$A$2:$D$41,2,FALSE),"Merchant not found")</f>
        <v>Merchant_031</v>
      </c>
      <c r="J370" s="4" t="str">
        <f>IFERROR(VLOOKUP(C370,Merchants!$A$2:$D$41,3,FALSE),"Merchant not found")</f>
        <v>bill_payment</v>
      </c>
      <c r="K370" s="4" t="str">
        <f>IFERROR(VLOOKUP(C370,Merchants!$A$2:$D$41,4,FALSE),"Merchant not found")</f>
        <v>East</v>
      </c>
      <c r="L370" s="4">
        <f>IFERROR(HLOOKUP(F370,Fee_Lookup!$B$1:$E$2,2,FALSE),"Fee not found")</f>
        <v>0</v>
      </c>
      <c r="M370" s="5">
        <f t="shared" si="1"/>
        <v>46029</v>
      </c>
      <c r="N370" s="4" t="str">
        <f t="shared" si="2"/>
        <v>31|2026-01-07</v>
      </c>
      <c r="O370" s="4">
        <f>IFERROR(VLOOKUP(N370,Merchant_Daily!$A:$B,2,FALSE),0)</f>
        <v>49</v>
      </c>
      <c r="P370" s="4" t="str">
        <f t="shared" si="3"/>
        <v>Standard Merchant Day</v>
      </c>
    </row>
    <row r="371">
      <c r="A371" s="1" t="s">
        <v>941</v>
      </c>
      <c r="B371" s="1">
        <v>71.0</v>
      </c>
      <c r="C371" s="1">
        <v>34.0</v>
      </c>
      <c r="D371" s="3">
        <v>46046.072916666664</v>
      </c>
      <c r="E371" s="1">
        <v>499.0</v>
      </c>
      <c r="F371" s="1" t="s">
        <v>35</v>
      </c>
      <c r="G371" s="1" t="s">
        <v>27</v>
      </c>
      <c r="H371" s="1">
        <v>26.0</v>
      </c>
      <c r="I371" s="4" t="str">
        <f>IFERROR(VLOOKUP(C371,Merchants!$A$2:$D$41,2,FALSE),"Merchant not found")</f>
        <v>Merchant_034</v>
      </c>
      <c r="J371" s="4" t="str">
        <f>IFERROR(VLOOKUP(C371,Merchants!$A$2:$D$41,3,FALSE),"Merchant not found")</f>
        <v>travel</v>
      </c>
      <c r="K371" s="4" t="str">
        <f>IFERROR(VLOOKUP(C371,Merchants!$A$2:$D$41,4,FALSE),"Merchant not found")</f>
        <v>South</v>
      </c>
      <c r="L371" s="4">
        <f>IFERROR(HLOOKUP(F371,Fee_Lookup!$B$1:$E$2,2,FALSE),"Fee not found")</f>
        <v>0</v>
      </c>
      <c r="M371" s="5">
        <f t="shared" si="1"/>
        <v>46046</v>
      </c>
      <c r="N371" s="4" t="str">
        <f t="shared" si="2"/>
        <v>34|2026-01-24</v>
      </c>
      <c r="O371" s="4">
        <f>IFERROR(VLOOKUP(N371,Merchant_Daily!$A:$B,2,FALSE),0)</f>
        <v>548</v>
      </c>
      <c r="P371" s="4" t="str">
        <f t="shared" si="3"/>
        <v>Standard Merchant Day</v>
      </c>
    </row>
    <row r="372">
      <c r="A372" s="1" t="s">
        <v>942</v>
      </c>
      <c r="B372" s="1">
        <v>245.0</v>
      </c>
      <c r="C372" s="1">
        <v>34.0</v>
      </c>
      <c r="D372" s="3">
        <v>46040.44583333333</v>
      </c>
      <c r="E372" s="1">
        <v>99.0</v>
      </c>
      <c r="F372" s="1" t="s">
        <v>35</v>
      </c>
      <c r="G372" s="1" t="s">
        <v>27</v>
      </c>
      <c r="H372" s="1">
        <v>48.0</v>
      </c>
      <c r="I372" s="4" t="str">
        <f>IFERROR(VLOOKUP(C372,Merchants!$A$2:$D$41,2,FALSE),"Merchant not found")</f>
        <v>Merchant_034</v>
      </c>
      <c r="J372" s="4" t="str">
        <f>IFERROR(VLOOKUP(C372,Merchants!$A$2:$D$41,3,FALSE),"Merchant not found")</f>
        <v>travel</v>
      </c>
      <c r="K372" s="4" t="str">
        <f>IFERROR(VLOOKUP(C372,Merchants!$A$2:$D$41,4,FALSE),"Merchant not found")</f>
        <v>South</v>
      </c>
      <c r="L372" s="4">
        <f>IFERROR(HLOOKUP(F372,Fee_Lookup!$B$1:$E$2,2,FALSE),"Fee not found")</f>
        <v>0</v>
      </c>
      <c r="M372" s="5">
        <f t="shared" si="1"/>
        <v>46040</v>
      </c>
      <c r="N372" s="4" t="str">
        <f t="shared" si="2"/>
        <v>34|2026-01-18</v>
      </c>
      <c r="O372" s="4">
        <f>IFERROR(VLOOKUP(N372,Merchant_Daily!$A:$B,2,FALSE),0)</f>
        <v>148</v>
      </c>
      <c r="P372" s="4" t="str">
        <f t="shared" si="3"/>
        <v>Standard Merchant Day</v>
      </c>
    </row>
    <row r="373">
      <c r="A373" s="1" t="s">
        <v>943</v>
      </c>
      <c r="B373" s="1">
        <v>273.0</v>
      </c>
      <c r="C373" s="1">
        <v>22.0</v>
      </c>
      <c r="D373" s="3">
        <v>46033.228472222225</v>
      </c>
      <c r="E373" s="1">
        <v>299.0</v>
      </c>
      <c r="F373" s="1" t="s">
        <v>26</v>
      </c>
      <c r="G373" s="1" t="s">
        <v>27</v>
      </c>
      <c r="H373" s="1">
        <v>69.0</v>
      </c>
      <c r="I373" s="4" t="str">
        <f>IFERROR(VLOOKUP(C373,Merchants!$A$2:$D$41,2,FALSE),"Merchant not found")</f>
        <v>Merchant_022</v>
      </c>
      <c r="J373" s="4" t="str">
        <f>IFERROR(VLOOKUP(C373,Merchants!$A$2:$D$41,3,FALSE),"Merchant not found")</f>
        <v>travel</v>
      </c>
      <c r="K373" s="4" t="str">
        <f>IFERROR(VLOOKUP(C373,Merchants!$A$2:$D$41,4,FALSE),"Merchant not found")</f>
        <v>South</v>
      </c>
      <c r="L373" s="4">
        <f>IFERROR(HLOOKUP(F373,Fee_Lookup!$B$1:$E$2,2,FALSE),"Fee not found")</f>
        <v>0.005</v>
      </c>
      <c r="M373" s="5">
        <f t="shared" si="1"/>
        <v>46033</v>
      </c>
      <c r="N373" s="4" t="str">
        <f t="shared" si="2"/>
        <v>22|2026-01-11</v>
      </c>
      <c r="O373" s="4">
        <f>IFERROR(VLOOKUP(N373,Merchant_Daily!$A:$B,2,FALSE),0)</f>
        <v>299</v>
      </c>
      <c r="P373" s="4" t="str">
        <f t="shared" si="3"/>
        <v>Standard Merchant Day</v>
      </c>
    </row>
    <row r="374">
      <c r="A374" s="1" t="s">
        <v>944</v>
      </c>
      <c r="B374" s="1">
        <v>349.0</v>
      </c>
      <c r="C374" s="1">
        <v>17.0</v>
      </c>
      <c r="D374" s="3">
        <v>46034.90902777778</v>
      </c>
      <c r="E374" s="1">
        <v>1499.0</v>
      </c>
      <c r="F374" s="1" t="s">
        <v>35</v>
      </c>
      <c r="G374" s="1" t="s">
        <v>27</v>
      </c>
      <c r="H374" s="1">
        <v>78.0</v>
      </c>
      <c r="I374" s="4" t="str">
        <f>IFERROR(VLOOKUP(C374,Merchants!$A$2:$D$41,2,FALSE),"Merchant not found")</f>
        <v>Merchant_017</v>
      </c>
      <c r="J374" s="4" t="str">
        <f>IFERROR(VLOOKUP(C374,Merchants!$A$2:$D$41,3,FALSE),"Merchant not found")</f>
        <v>grocery</v>
      </c>
      <c r="K374" s="4" t="str">
        <f>IFERROR(VLOOKUP(C374,Merchants!$A$2:$D$41,4,FALSE),"Merchant not found")</f>
        <v>North</v>
      </c>
      <c r="L374" s="4">
        <f>IFERROR(HLOOKUP(F374,Fee_Lookup!$B$1:$E$2,2,FALSE),"Fee not found")</f>
        <v>0</v>
      </c>
      <c r="M374" s="5">
        <f t="shared" si="1"/>
        <v>46034</v>
      </c>
      <c r="N374" s="4" t="str">
        <f t="shared" si="2"/>
        <v>17|2026-01-12</v>
      </c>
      <c r="O374" s="4">
        <f>IFERROR(VLOOKUP(N374,Merchant_Daily!$A:$B,2,FALSE),0)</f>
        <v>1499</v>
      </c>
      <c r="P374" s="4" t="str">
        <f t="shared" si="3"/>
        <v>Standard Merchant Day</v>
      </c>
    </row>
    <row r="375">
      <c r="A375" s="1" t="s">
        <v>945</v>
      </c>
      <c r="B375" s="1">
        <v>143.0</v>
      </c>
      <c r="C375" s="1">
        <v>36.0</v>
      </c>
      <c r="D375" s="3">
        <v>46038.260416666664</v>
      </c>
      <c r="E375" s="1">
        <v>1499.0</v>
      </c>
      <c r="F375" s="1" t="s">
        <v>47</v>
      </c>
      <c r="G375" s="1" t="s">
        <v>27</v>
      </c>
      <c r="H375" s="1">
        <v>38.0</v>
      </c>
      <c r="I375" s="4" t="str">
        <f>IFERROR(VLOOKUP(C375,Merchants!$A$2:$D$41,2,FALSE),"Merchant not found")</f>
        <v>Merchant_036</v>
      </c>
      <c r="J375" s="4" t="str">
        <f>IFERROR(VLOOKUP(C375,Merchants!$A$2:$D$41,3,FALSE),"Merchant not found")</f>
        <v>entertainment</v>
      </c>
      <c r="K375" s="4" t="str">
        <f>IFERROR(VLOOKUP(C375,Merchants!$A$2:$D$41,4,FALSE),"Merchant not found")</f>
        <v>East</v>
      </c>
      <c r="L375" s="4">
        <f>IFERROR(HLOOKUP(F375,Fee_Lookup!$B$1:$E$2,2,FALSE),"Fee not found")</f>
        <v>0.015</v>
      </c>
      <c r="M375" s="5">
        <f t="shared" si="1"/>
        <v>46038</v>
      </c>
      <c r="N375" s="4" t="str">
        <f t="shared" si="2"/>
        <v>36|2026-01-16</v>
      </c>
      <c r="O375" s="4">
        <f>IFERROR(VLOOKUP(N375,Merchant_Daily!$A:$B,2,FALSE),0)</f>
        <v>1499</v>
      </c>
      <c r="P375" s="4" t="str">
        <f t="shared" si="3"/>
        <v>Standard Merchant Day</v>
      </c>
    </row>
    <row r="376">
      <c r="A376" s="1" t="s">
        <v>946</v>
      </c>
      <c r="B376" s="1">
        <v>148.0</v>
      </c>
      <c r="C376" s="1">
        <v>14.0</v>
      </c>
      <c r="D376" s="3">
        <v>46030.40902777778</v>
      </c>
      <c r="E376" s="1">
        <v>799.0</v>
      </c>
      <c r="F376" s="1" t="s">
        <v>26</v>
      </c>
      <c r="G376" s="1" t="s">
        <v>27</v>
      </c>
      <c r="H376" s="1">
        <v>88.0</v>
      </c>
      <c r="I376" s="4" t="str">
        <f>IFERROR(VLOOKUP(C376,Merchants!$A$2:$D$41,2,FALSE),"Merchant not found")</f>
        <v>Merchant_014</v>
      </c>
      <c r="J376" s="4" t="str">
        <f>IFERROR(VLOOKUP(C376,Merchants!$A$2:$D$41,3,FALSE),"Merchant not found")</f>
        <v>grocery</v>
      </c>
      <c r="K376" s="4" t="str">
        <f>IFERROR(VLOOKUP(C376,Merchants!$A$2:$D$41,4,FALSE),"Merchant not found")</f>
        <v>East</v>
      </c>
      <c r="L376" s="4">
        <f>IFERROR(HLOOKUP(F376,Fee_Lookup!$B$1:$E$2,2,FALSE),"Fee not found")</f>
        <v>0.005</v>
      </c>
      <c r="M376" s="5">
        <f t="shared" si="1"/>
        <v>46030</v>
      </c>
      <c r="N376" s="4" t="str">
        <f t="shared" si="2"/>
        <v>14|2026-01-08</v>
      </c>
      <c r="O376" s="4">
        <f>IFERROR(VLOOKUP(N376,Merchant_Daily!$A:$B,2,FALSE),0)</f>
        <v>799</v>
      </c>
      <c r="P376" s="4" t="str">
        <f t="shared" si="3"/>
        <v>Standard Merchant Day</v>
      </c>
    </row>
    <row r="377">
      <c r="A377" s="1" t="s">
        <v>947</v>
      </c>
      <c r="B377" s="1">
        <v>246.0</v>
      </c>
      <c r="C377" s="1">
        <v>23.0</v>
      </c>
      <c r="D377" s="3">
        <v>46045.63888888889</v>
      </c>
      <c r="E377" s="1">
        <v>49.0</v>
      </c>
      <c r="F377" s="1" t="s">
        <v>35</v>
      </c>
      <c r="G377" s="1" t="s">
        <v>27</v>
      </c>
      <c r="H377" s="1">
        <v>71.0</v>
      </c>
      <c r="I377" s="4" t="str">
        <f>IFERROR(VLOOKUP(C377,Merchants!$A$2:$D$41,2,FALSE),"Merchant not found")</f>
        <v>Merchant_023</v>
      </c>
      <c r="J377" s="4" t="str">
        <f>IFERROR(VLOOKUP(C377,Merchants!$A$2:$D$41,3,FALSE),"Merchant not found")</f>
        <v>travel</v>
      </c>
      <c r="K377" s="4" t="str">
        <f>IFERROR(VLOOKUP(C377,Merchants!$A$2:$D$41,4,FALSE),"Merchant not found")</f>
        <v>North</v>
      </c>
      <c r="L377" s="4">
        <f>IFERROR(HLOOKUP(F377,Fee_Lookup!$B$1:$E$2,2,FALSE),"Fee not found")</f>
        <v>0</v>
      </c>
      <c r="M377" s="5">
        <f t="shared" si="1"/>
        <v>46045</v>
      </c>
      <c r="N377" s="4" t="str">
        <f t="shared" si="2"/>
        <v>23|2026-01-23</v>
      </c>
      <c r="O377" s="4">
        <f>IFERROR(VLOOKUP(N377,Merchant_Daily!$A:$B,2,FALSE),0)</f>
        <v>247</v>
      </c>
      <c r="P377" s="4" t="str">
        <f t="shared" si="3"/>
        <v>Standard Merchant Day</v>
      </c>
    </row>
    <row r="378">
      <c r="A378" s="1" t="s">
        <v>948</v>
      </c>
      <c r="B378" s="1">
        <v>148.0</v>
      </c>
      <c r="C378" s="1">
        <v>8.0</v>
      </c>
      <c r="D378" s="3">
        <v>46052.970138888886</v>
      </c>
      <c r="E378" s="1">
        <v>99.0</v>
      </c>
      <c r="F378" s="1" t="s">
        <v>26</v>
      </c>
      <c r="G378" s="1" t="s">
        <v>27</v>
      </c>
      <c r="H378" s="1">
        <v>73.0</v>
      </c>
      <c r="I378" s="4" t="str">
        <f>IFERROR(VLOOKUP(C378,Merchants!$A$2:$D$41,2,FALSE),"Merchant not found")</f>
        <v>Merchant_008</v>
      </c>
      <c r="J378" s="4" t="str">
        <f>IFERROR(VLOOKUP(C378,Merchants!$A$2:$D$41,3,FALSE),"Merchant not found")</f>
        <v>food_delivery</v>
      </c>
      <c r="K378" s="4" t="str">
        <f>IFERROR(VLOOKUP(C378,Merchants!$A$2:$D$41,4,FALSE),"Merchant not found")</f>
        <v>North</v>
      </c>
      <c r="L378" s="4">
        <f>IFERROR(HLOOKUP(F378,Fee_Lookup!$B$1:$E$2,2,FALSE),"Fee not found")</f>
        <v>0.005</v>
      </c>
      <c r="M378" s="5">
        <f t="shared" si="1"/>
        <v>46052</v>
      </c>
      <c r="N378" s="4" t="str">
        <f t="shared" si="2"/>
        <v>8|2026-01-30</v>
      </c>
      <c r="O378" s="4">
        <f>IFERROR(VLOOKUP(N378,Merchant_Daily!$A:$B,2,FALSE),0)</f>
        <v>99</v>
      </c>
      <c r="P378" s="4" t="str">
        <f t="shared" si="3"/>
        <v>Standard Merchant Day</v>
      </c>
    </row>
    <row r="379">
      <c r="A379" s="1" t="s">
        <v>949</v>
      </c>
      <c r="B379" s="1">
        <v>203.0</v>
      </c>
      <c r="C379" s="1">
        <v>23.0</v>
      </c>
      <c r="D379" s="3">
        <v>46044.725</v>
      </c>
      <c r="E379" s="1">
        <v>49.0</v>
      </c>
      <c r="F379" s="1" t="s">
        <v>35</v>
      </c>
      <c r="G379" s="1" t="s">
        <v>27</v>
      </c>
      <c r="H379" s="1">
        <v>98.0</v>
      </c>
      <c r="I379" s="4" t="str">
        <f>IFERROR(VLOOKUP(C379,Merchants!$A$2:$D$41,2,FALSE),"Merchant not found")</f>
        <v>Merchant_023</v>
      </c>
      <c r="J379" s="4" t="str">
        <f>IFERROR(VLOOKUP(C379,Merchants!$A$2:$D$41,3,FALSE),"Merchant not found")</f>
        <v>travel</v>
      </c>
      <c r="K379" s="4" t="str">
        <f>IFERROR(VLOOKUP(C379,Merchants!$A$2:$D$41,4,FALSE),"Merchant not found")</f>
        <v>North</v>
      </c>
      <c r="L379" s="4">
        <f>IFERROR(HLOOKUP(F379,Fee_Lookup!$B$1:$E$2,2,FALSE),"Fee not found")</f>
        <v>0</v>
      </c>
      <c r="M379" s="5">
        <f t="shared" si="1"/>
        <v>46044</v>
      </c>
      <c r="N379" s="4" t="str">
        <f t="shared" si="2"/>
        <v>23|2026-01-22</v>
      </c>
      <c r="O379" s="4">
        <f>IFERROR(VLOOKUP(N379,Merchant_Daily!$A:$B,2,FALSE),0)</f>
        <v>49</v>
      </c>
      <c r="P379" s="4" t="str">
        <f t="shared" si="3"/>
        <v>Standard Merchant Day</v>
      </c>
    </row>
    <row r="380">
      <c r="A380" s="1" t="s">
        <v>950</v>
      </c>
      <c r="B380" s="1">
        <v>22.0</v>
      </c>
      <c r="C380" s="1">
        <v>19.0</v>
      </c>
      <c r="D380" s="3">
        <v>46048.17916666667</v>
      </c>
      <c r="E380" s="1">
        <v>49.0</v>
      </c>
      <c r="F380" s="1" t="s">
        <v>46</v>
      </c>
      <c r="G380" s="1" t="s">
        <v>27</v>
      </c>
      <c r="H380" s="1">
        <v>91.0</v>
      </c>
      <c r="I380" s="4" t="str">
        <f>IFERROR(VLOOKUP(C380,Merchants!$A$2:$D$41,2,FALSE),"Merchant not found")</f>
        <v>Merchant_019</v>
      </c>
      <c r="J380" s="4" t="str">
        <f>IFERROR(VLOOKUP(C380,Merchants!$A$2:$D$41,3,FALSE),"Merchant not found")</f>
        <v>grocery</v>
      </c>
      <c r="K380" s="4" t="str">
        <f>IFERROR(VLOOKUP(C380,Merchants!$A$2:$D$41,4,FALSE),"Merchant not found")</f>
        <v>North</v>
      </c>
      <c r="L380" s="4">
        <f>IFERROR(HLOOKUP(F380,Fee_Lookup!$B$1:$E$2,2,FALSE),"Fee not found")</f>
        <v>0.01</v>
      </c>
      <c r="M380" s="5">
        <f t="shared" si="1"/>
        <v>46048</v>
      </c>
      <c r="N380" s="4" t="str">
        <f t="shared" si="2"/>
        <v>19|2026-01-26</v>
      </c>
      <c r="O380" s="4">
        <f>IFERROR(VLOOKUP(N380,Merchant_Daily!$A:$B,2,FALSE),0)</f>
        <v>49</v>
      </c>
      <c r="P380" s="4" t="str">
        <f t="shared" si="3"/>
        <v>Standard Merchant Day</v>
      </c>
    </row>
    <row r="381">
      <c r="A381" s="1" t="s">
        <v>951</v>
      </c>
      <c r="B381" s="1">
        <v>227.0</v>
      </c>
      <c r="C381" s="1">
        <v>17.0</v>
      </c>
      <c r="D381" s="3">
        <v>46025.49930555555</v>
      </c>
      <c r="E381" s="1">
        <v>299.0</v>
      </c>
      <c r="F381" s="1" t="s">
        <v>26</v>
      </c>
      <c r="G381" s="1" t="s">
        <v>27</v>
      </c>
      <c r="H381" s="1">
        <v>95.0</v>
      </c>
      <c r="I381" s="4" t="str">
        <f>IFERROR(VLOOKUP(C381,Merchants!$A$2:$D$41,2,FALSE),"Merchant not found")</f>
        <v>Merchant_017</v>
      </c>
      <c r="J381" s="4" t="str">
        <f>IFERROR(VLOOKUP(C381,Merchants!$A$2:$D$41,3,FALSE),"Merchant not found")</f>
        <v>grocery</v>
      </c>
      <c r="K381" s="4" t="str">
        <f>IFERROR(VLOOKUP(C381,Merchants!$A$2:$D$41,4,FALSE),"Merchant not found")</f>
        <v>North</v>
      </c>
      <c r="L381" s="4">
        <f>IFERROR(HLOOKUP(F381,Fee_Lookup!$B$1:$E$2,2,FALSE),"Fee not found")</f>
        <v>0.005</v>
      </c>
      <c r="M381" s="5">
        <f t="shared" si="1"/>
        <v>46025</v>
      </c>
      <c r="N381" s="4" t="str">
        <f t="shared" si="2"/>
        <v>17|2026-01-03</v>
      </c>
      <c r="O381" s="4">
        <f>IFERROR(VLOOKUP(N381,Merchant_Daily!$A:$B,2,FALSE),0)</f>
        <v>398</v>
      </c>
      <c r="P381" s="4" t="str">
        <f t="shared" si="3"/>
        <v>Standard Merchant Day</v>
      </c>
    </row>
    <row r="382">
      <c r="A382" s="1" t="s">
        <v>952</v>
      </c>
      <c r="B382" s="1">
        <v>276.0</v>
      </c>
      <c r="C382" s="1">
        <v>18.0</v>
      </c>
      <c r="D382" s="3">
        <v>46038.25833333333</v>
      </c>
      <c r="E382" s="1">
        <v>149.0</v>
      </c>
      <c r="F382" s="1" t="s">
        <v>26</v>
      </c>
      <c r="G382" s="1" t="s">
        <v>27</v>
      </c>
      <c r="H382" s="1">
        <v>71.0</v>
      </c>
      <c r="I382" s="4" t="str">
        <f>IFERROR(VLOOKUP(C382,Merchants!$A$2:$D$41,2,FALSE),"Merchant not found")</f>
        <v>Merchant_018</v>
      </c>
      <c r="J382" s="4" t="str">
        <f>IFERROR(VLOOKUP(C382,Merchants!$A$2:$D$41,3,FALSE),"Merchant not found")</f>
        <v>grocery</v>
      </c>
      <c r="K382" s="4" t="str">
        <f>IFERROR(VLOOKUP(C382,Merchants!$A$2:$D$41,4,FALSE),"Merchant not found")</f>
        <v>West</v>
      </c>
      <c r="L382" s="4">
        <f>IFERROR(HLOOKUP(F382,Fee_Lookup!$B$1:$E$2,2,FALSE),"Fee not found")</f>
        <v>0.005</v>
      </c>
      <c r="M382" s="5">
        <f t="shared" si="1"/>
        <v>46038</v>
      </c>
      <c r="N382" s="4" t="str">
        <f t="shared" si="2"/>
        <v>18|2026-01-16</v>
      </c>
      <c r="O382" s="4">
        <f>IFERROR(VLOOKUP(N382,Merchant_Daily!$A:$B,2,FALSE),0)</f>
        <v>3148</v>
      </c>
      <c r="P382" s="4" t="str">
        <f t="shared" si="3"/>
        <v>Standard Merchant Day</v>
      </c>
    </row>
    <row r="383">
      <c r="A383" s="1" t="s">
        <v>953</v>
      </c>
      <c r="B383" s="1">
        <v>56.0</v>
      </c>
      <c r="C383" s="1">
        <v>40.0</v>
      </c>
      <c r="D383" s="3">
        <v>46045.33888888889</v>
      </c>
      <c r="E383" s="1">
        <v>99.0</v>
      </c>
      <c r="F383" s="1" t="s">
        <v>46</v>
      </c>
      <c r="G383" s="1" t="s">
        <v>27</v>
      </c>
      <c r="H383" s="1">
        <v>94.0</v>
      </c>
      <c r="I383" s="4" t="str">
        <f>IFERROR(VLOOKUP(C383,Merchants!$A$2:$D$41,2,FALSE),"Merchant not found")</f>
        <v>Merchant_040</v>
      </c>
      <c r="J383" s="4" t="str">
        <f>IFERROR(VLOOKUP(C383,Merchants!$A$2:$D$41,3,FALSE),"Merchant not found")</f>
        <v>entertainment</v>
      </c>
      <c r="K383" s="4" t="str">
        <f>IFERROR(VLOOKUP(C383,Merchants!$A$2:$D$41,4,FALSE),"Merchant not found")</f>
        <v>South</v>
      </c>
      <c r="L383" s="4">
        <f>IFERROR(HLOOKUP(F383,Fee_Lookup!$B$1:$E$2,2,FALSE),"Fee not found")</f>
        <v>0.01</v>
      </c>
      <c r="M383" s="5">
        <f t="shared" si="1"/>
        <v>46045</v>
      </c>
      <c r="N383" s="4" t="str">
        <f t="shared" si="2"/>
        <v>40|2026-01-23</v>
      </c>
      <c r="O383" s="4">
        <f>IFERROR(VLOOKUP(N383,Merchant_Daily!$A:$B,2,FALSE),0)</f>
        <v>598</v>
      </c>
      <c r="P383" s="4" t="str">
        <f t="shared" si="3"/>
        <v>Standard Merchant Day</v>
      </c>
    </row>
    <row r="384">
      <c r="A384" s="1" t="s">
        <v>954</v>
      </c>
      <c r="B384" s="1">
        <v>26.0</v>
      </c>
      <c r="C384" s="1">
        <v>34.0</v>
      </c>
      <c r="D384" s="3">
        <v>46041.302083333336</v>
      </c>
      <c r="E384" s="1">
        <v>499.0</v>
      </c>
      <c r="F384" s="1" t="s">
        <v>46</v>
      </c>
      <c r="G384" s="1" t="s">
        <v>27</v>
      </c>
      <c r="H384" s="1">
        <v>28.0</v>
      </c>
      <c r="I384" s="4" t="str">
        <f>IFERROR(VLOOKUP(C384,Merchants!$A$2:$D$41,2,FALSE),"Merchant not found")</f>
        <v>Merchant_034</v>
      </c>
      <c r="J384" s="4" t="str">
        <f>IFERROR(VLOOKUP(C384,Merchants!$A$2:$D$41,3,FALSE),"Merchant not found")</f>
        <v>travel</v>
      </c>
      <c r="K384" s="4" t="str">
        <f>IFERROR(VLOOKUP(C384,Merchants!$A$2:$D$41,4,FALSE),"Merchant not found")</f>
        <v>South</v>
      </c>
      <c r="L384" s="4">
        <f>IFERROR(HLOOKUP(F384,Fee_Lookup!$B$1:$E$2,2,FALSE),"Fee not found")</f>
        <v>0.01</v>
      </c>
      <c r="M384" s="5">
        <f t="shared" si="1"/>
        <v>46041</v>
      </c>
      <c r="N384" s="4" t="str">
        <f t="shared" si="2"/>
        <v>34|2026-01-19</v>
      </c>
      <c r="O384" s="4">
        <f>IFERROR(VLOOKUP(N384,Merchant_Daily!$A:$B,2,FALSE),0)</f>
        <v>499</v>
      </c>
      <c r="P384" s="4" t="str">
        <f t="shared" si="3"/>
        <v>Standard Merchant Day</v>
      </c>
    </row>
    <row r="385">
      <c r="A385" s="1" t="s">
        <v>955</v>
      </c>
      <c r="B385" s="1">
        <v>52.0</v>
      </c>
      <c r="C385" s="1">
        <v>27.0</v>
      </c>
      <c r="D385" s="3">
        <v>46043.29375</v>
      </c>
      <c r="E385" s="1">
        <v>499.0</v>
      </c>
      <c r="F385" s="1" t="s">
        <v>46</v>
      </c>
      <c r="G385" s="1" t="s">
        <v>27</v>
      </c>
      <c r="H385" s="1">
        <v>42.0</v>
      </c>
      <c r="I385" s="4" t="str">
        <f>IFERROR(VLOOKUP(C385,Merchants!$A$2:$D$41,2,FALSE),"Merchant not found")</f>
        <v>Merchant_027</v>
      </c>
      <c r="J385" s="4" t="str">
        <f>IFERROR(VLOOKUP(C385,Merchants!$A$2:$D$41,3,FALSE),"Merchant not found")</f>
        <v>ecommerce</v>
      </c>
      <c r="K385" s="4" t="str">
        <f>IFERROR(VLOOKUP(C385,Merchants!$A$2:$D$41,4,FALSE),"Merchant not found")</f>
        <v>North</v>
      </c>
      <c r="L385" s="4">
        <f>IFERROR(HLOOKUP(F385,Fee_Lookup!$B$1:$E$2,2,FALSE),"Fee not found")</f>
        <v>0.01</v>
      </c>
      <c r="M385" s="5">
        <f t="shared" si="1"/>
        <v>46043</v>
      </c>
      <c r="N385" s="4" t="str">
        <f t="shared" si="2"/>
        <v>27|2026-01-21</v>
      </c>
      <c r="O385" s="4">
        <f>IFERROR(VLOOKUP(N385,Merchant_Daily!$A:$B,2,FALSE),0)</f>
        <v>499</v>
      </c>
      <c r="P385" s="4" t="str">
        <f t="shared" si="3"/>
        <v>Standard Merchant Day</v>
      </c>
    </row>
    <row r="386">
      <c r="A386" s="1" t="s">
        <v>956</v>
      </c>
      <c r="B386" s="1">
        <v>349.0</v>
      </c>
      <c r="C386" s="1">
        <v>9.0</v>
      </c>
      <c r="D386" s="3">
        <v>46045.629166666666</v>
      </c>
      <c r="E386" s="1">
        <v>499.0</v>
      </c>
      <c r="F386" s="1" t="s">
        <v>26</v>
      </c>
      <c r="G386" s="1" t="s">
        <v>27</v>
      </c>
      <c r="H386" s="1">
        <v>0.0</v>
      </c>
      <c r="I386" s="4" t="str">
        <f>IFERROR(VLOOKUP(C386,Merchants!$A$2:$D$41,2,FALSE),"Merchant not found")</f>
        <v>Merchant_009</v>
      </c>
      <c r="J386" s="4" t="str">
        <f>IFERROR(VLOOKUP(C386,Merchants!$A$2:$D$41,3,FALSE),"Merchant not found")</f>
        <v>ecommerce</v>
      </c>
      <c r="K386" s="4" t="str">
        <f>IFERROR(VLOOKUP(C386,Merchants!$A$2:$D$41,4,FALSE),"Merchant not found")</f>
        <v>North</v>
      </c>
      <c r="L386" s="4">
        <f>IFERROR(HLOOKUP(F386,Fee_Lookup!$B$1:$E$2,2,FALSE),"Fee not found")</f>
        <v>0.005</v>
      </c>
      <c r="M386" s="5">
        <f t="shared" si="1"/>
        <v>46045</v>
      </c>
      <c r="N386" s="4" t="str">
        <f t="shared" si="2"/>
        <v>9|2026-01-23</v>
      </c>
      <c r="O386" s="4">
        <f>IFERROR(VLOOKUP(N386,Merchant_Daily!$A:$B,2,FALSE),0)</f>
        <v>898</v>
      </c>
      <c r="P386" s="4" t="str">
        <f t="shared" si="3"/>
        <v>Standard Merchant Day</v>
      </c>
    </row>
    <row r="387">
      <c r="A387" s="1" t="s">
        <v>957</v>
      </c>
      <c r="B387" s="1">
        <v>335.0</v>
      </c>
      <c r="C387" s="1">
        <v>31.0</v>
      </c>
      <c r="D387" s="3">
        <v>46040.22638888889</v>
      </c>
      <c r="E387" s="1">
        <v>49.0</v>
      </c>
      <c r="F387" s="1" t="s">
        <v>46</v>
      </c>
      <c r="G387" s="1" t="s">
        <v>27</v>
      </c>
      <c r="H387" s="1">
        <v>61.0</v>
      </c>
      <c r="I387" s="4" t="str">
        <f>IFERROR(VLOOKUP(C387,Merchants!$A$2:$D$41,2,FALSE),"Merchant not found")</f>
        <v>Merchant_031</v>
      </c>
      <c r="J387" s="4" t="str">
        <f>IFERROR(VLOOKUP(C387,Merchants!$A$2:$D$41,3,FALSE),"Merchant not found")</f>
        <v>bill_payment</v>
      </c>
      <c r="K387" s="4" t="str">
        <f>IFERROR(VLOOKUP(C387,Merchants!$A$2:$D$41,4,FALSE),"Merchant not found")</f>
        <v>East</v>
      </c>
      <c r="L387" s="4">
        <f>IFERROR(HLOOKUP(F387,Fee_Lookup!$B$1:$E$2,2,FALSE),"Fee not found")</f>
        <v>0.01</v>
      </c>
      <c r="M387" s="5">
        <f t="shared" si="1"/>
        <v>46040</v>
      </c>
      <c r="N387" s="4" t="str">
        <f t="shared" si="2"/>
        <v>31|2026-01-18</v>
      </c>
      <c r="O387" s="4">
        <f>IFERROR(VLOOKUP(N387,Merchant_Daily!$A:$B,2,FALSE),0)</f>
        <v>49</v>
      </c>
      <c r="P387" s="4" t="str">
        <f t="shared" si="3"/>
        <v>Standard Merchant Day</v>
      </c>
    </row>
    <row r="388">
      <c r="A388" s="1" t="s">
        <v>958</v>
      </c>
      <c r="B388" s="1">
        <v>148.0</v>
      </c>
      <c r="C388" s="1">
        <v>21.0</v>
      </c>
      <c r="D388" s="3">
        <v>46043.28333333333</v>
      </c>
      <c r="E388" s="1">
        <v>49.0</v>
      </c>
      <c r="F388" s="1" t="s">
        <v>46</v>
      </c>
      <c r="G388" s="1" t="s">
        <v>27</v>
      </c>
      <c r="H388" s="1">
        <v>36.0</v>
      </c>
      <c r="I388" s="4" t="str">
        <f>IFERROR(VLOOKUP(C388,Merchants!$A$2:$D$41,2,FALSE),"Merchant not found")</f>
        <v>Merchant_021</v>
      </c>
      <c r="J388" s="4" t="str">
        <f>IFERROR(VLOOKUP(C388,Merchants!$A$2:$D$41,3,FALSE),"Merchant not found")</f>
        <v>food_delivery</v>
      </c>
      <c r="K388" s="4" t="str">
        <f>IFERROR(VLOOKUP(C388,Merchants!$A$2:$D$41,4,FALSE),"Merchant not found")</f>
        <v>East</v>
      </c>
      <c r="L388" s="4">
        <f>IFERROR(HLOOKUP(F388,Fee_Lookup!$B$1:$E$2,2,FALSE),"Fee not found")</f>
        <v>0.01</v>
      </c>
      <c r="M388" s="5">
        <f t="shared" si="1"/>
        <v>46043</v>
      </c>
      <c r="N388" s="4" t="str">
        <f t="shared" si="2"/>
        <v>21|2026-01-21</v>
      </c>
      <c r="O388" s="4">
        <f>IFERROR(VLOOKUP(N388,Merchant_Daily!$A:$B,2,FALSE),0)</f>
        <v>49</v>
      </c>
      <c r="P388" s="4" t="str">
        <f t="shared" si="3"/>
        <v>Standard Merchant Day</v>
      </c>
    </row>
    <row r="389">
      <c r="A389" s="1" t="s">
        <v>959</v>
      </c>
      <c r="B389" s="1">
        <v>46.0</v>
      </c>
      <c r="C389" s="1">
        <v>37.0</v>
      </c>
      <c r="D389" s="3">
        <v>46043.08194444444</v>
      </c>
      <c r="E389" s="1">
        <v>99.0</v>
      </c>
      <c r="F389" s="1" t="s">
        <v>26</v>
      </c>
      <c r="G389" s="1" t="s">
        <v>27</v>
      </c>
      <c r="H389" s="1">
        <v>29.0</v>
      </c>
      <c r="I389" s="4" t="str">
        <f>IFERROR(VLOOKUP(C389,Merchants!$A$2:$D$41,2,FALSE),"Merchant not found")</f>
        <v>Merchant_037</v>
      </c>
      <c r="J389" s="4" t="str">
        <f>IFERROR(VLOOKUP(C389,Merchants!$A$2:$D$41,3,FALSE),"Merchant not found")</f>
        <v>entertainment</v>
      </c>
      <c r="K389" s="4" t="str">
        <f>IFERROR(VLOOKUP(C389,Merchants!$A$2:$D$41,4,FALSE),"Merchant not found")</f>
        <v>South</v>
      </c>
      <c r="L389" s="4">
        <f>IFERROR(HLOOKUP(F389,Fee_Lookup!$B$1:$E$2,2,FALSE),"Fee not found")</f>
        <v>0.005</v>
      </c>
      <c r="M389" s="5">
        <f t="shared" si="1"/>
        <v>46043</v>
      </c>
      <c r="N389" s="4" t="str">
        <f t="shared" si="2"/>
        <v>37|2026-01-21</v>
      </c>
      <c r="O389" s="4">
        <f>IFERROR(VLOOKUP(N389,Merchant_Daily!$A:$B,2,FALSE),0)</f>
        <v>99</v>
      </c>
      <c r="P389" s="4" t="str">
        <f t="shared" si="3"/>
        <v>Standard Merchant Day</v>
      </c>
    </row>
    <row r="390">
      <c r="A390" s="1" t="s">
        <v>960</v>
      </c>
      <c r="B390" s="1">
        <v>20.0</v>
      </c>
      <c r="C390" s="1">
        <v>12.0</v>
      </c>
      <c r="D390" s="3">
        <v>46040.990277777775</v>
      </c>
      <c r="E390" s="1">
        <v>799.0</v>
      </c>
      <c r="F390" s="1" t="s">
        <v>46</v>
      </c>
      <c r="G390" s="1" t="s">
        <v>27</v>
      </c>
      <c r="H390" s="1">
        <v>53.0</v>
      </c>
      <c r="I390" s="4" t="str">
        <f>IFERROR(VLOOKUP(C390,Merchants!$A$2:$D$41,2,FALSE),"Merchant not found")</f>
        <v>Merchant_012</v>
      </c>
      <c r="J390" s="4" t="str">
        <f>IFERROR(VLOOKUP(C390,Merchants!$A$2:$D$41,3,FALSE),"Merchant not found")</f>
        <v>ecommerce</v>
      </c>
      <c r="K390" s="4" t="str">
        <f>IFERROR(VLOOKUP(C390,Merchants!$A$2:$D$41,4,FALSE),"Merchant not found")</f>
        <v>East</v>
      </c>
      <c r="L390" s="4">
        <f>IFERROR(HLOOKUP(F390,Fee_Lookup!$B$1:$E$2,2,FALSE),"Fee not found")</f>
        <v>0.01</v>
      </c>
      <c r="M390" s="5">
        <f t="shared" si="1"/>
        <v>46040</v>
      </c>
      <c r="N390" s="4" t="str">
        <f t="shared" si="2"/>
        <v>12|2026-01-18</v>
      </c>
      <c r="O390" s="4">
        <f>IFERROR(VLOOKUP(N390,Merchant_Daily!$A:$B,2,FALSE),0)</f>
        <v>799</v>
      </c>
      <c r="P390" s="4" t="str">
        <f t="shared" si="3"/>
        <v>Standard Merchant Day</v>
      </c>
    </row>
    <row r="391">
      <c r="A391" s="1" t="s">
        <v>961</v>
      </c>
      <c r="B391" s="1">
        <v>19.0</v>
      </c>
      <c r="C391" s="1">
        <v>26.0</v>
      </c>
      <c r="D391" s="3">
        <v>46051.24930555555</v>
      </c>
      <c r="E391" s="1">
        <v>49.0</v>
      </c>
      <c r="F391" s="1" t="s">
        <v>35</v>
      </c>
      <c r="G391" s="1" t="s">
        <v>27</v>
      </c>
      <c r="H391" s="1">
        <v>100.0</v>
      </c>
      <c r="I391" s="4" t="str">
        <f>IFERROR(VLOOKUP(C391,Merchants!$A$2:$D$41,2,FALSE),"Merchant not found")</f>
        <v>Merchant_026</v>
      </c>
      <c r="J391" s="4" t="str">
        <f>IFERROR(VLOOKUP(C391,Merchants!$A$2:$D$41,3,FALSE),"Merchant not found")</f>
        <v>food_delivery</v>
      </c>
      <c r="K391" s="4" t="str">
        <f>IFERROR(VLOOKUP(C391,Merchants!$A$2:$D$41,4,FALSE),"Merchant not found")</f>
        <v>East</v>
      </c>
      <c r="L391" s="4">
        <f>IFERROR(HLOOKUP(F391,Fee_Lookup!$B$1:$E$2,2,FALSE),"Fee not found")</f>
        <v>0</v>
      </c>
      <c r="M391" s="5">
        <f t="shared" si="1"/>
        <v>46051</v>
      </c>
      <c r="N391" s="4" t="str">
        <f t="shared" si="2"/>
        <v>26|2026-01-29</v>
      </c>
      <c r="O391" s="4">
        <f>IFERROR(VLOOKUP(N391,Merchant_Daily!$A:$B,2,FALSE),0)</f>
        <v>148</v>
      </c>
      <c r="P391" s="4" t="str">
        <f t="shared" si="3"/>
        <v>Standard Merchant Day</v>
      </c>
    </row>
    <row r="392">
      <c r="A392" s="1" t="s">
        <v>962</v>
      </c>
      <c r="B392" s="1">
        <v>149.0</v>
      </c>
      <c r="C392" s="1">
        <v>3.0</v>
      </c>
      <c r="D392" s="3">
        <v>46038.24930555555</v>
      </c>
      <c r="E392" s="1">
        <v>4999.0</v>
      </c>
      <c r="F392" s="1" t="s">
        <v>26</v>
      </c>
      <c r="G392" s="1" t="s">
        <v>27</v>
      </c>
      <c r="H392" s="1">
        <v>1.0</v>
      </c>
      <c r="I392" s="4" t="str">
        <f>IFERROR(VLOOKUP(C392,Merchants!$A$2:$D$41,2,FALSE),"Merchant not found")</f>
        <v>Merchant_003</v>
      </c>
      <c r="J392" s="4" t="str">
        <f>IFERROR(VLOOKUP(C392,Merchants!$A$2:$D$41,3,FALSE),"Merchant not found")</f>
        <v>grocery</v>
      </c>
      <c r="K392" s="4" t="str">
        <f>IFERROR(VLOOKUP(C392,Merchants!$A$2:$D$41,4,FALSE),"Merchant not found")</f>
        <v>East</v>
      </c>
      <c r="L392" s="4">
        <f>IFERROR(HLOOKUP(F392,Fee_Lookup!$B$1:$E$2,2,FALSE),"Fee not found")</f>
        <v>0.005</v>
      </c>
      <c r="M392" s="5">
        <f t="shared" si="1"/>
        <v>46038</v>
      </c>
      <c r="N392" s="4" t="str">
        <f t="shared" si="2"/>
        <v>3|2026-01-16</v>
      </c>
      <c r="O392" s="4">
        <f>IFERROR(VLOOKUP(N392,Merchant_Daily!$A:$B,2,FALSE),0)</f>
        <v>4999</v>
      </c>
      <c r="P392" s="4" t="str">
        <f t="shared" si="3"/>
        <v>Standard Merchant Day</v>
      </c>
    </row>
    <row r="393">
      <c r="A393" s="1" t="s">
        <v>963</v>
      </c>
      <c r="B393" s="1">
        <v>55.0</v>
      </c>
      <c r="C393" s="1">
        <v>22.0</v>
      </c>
      <c r="D393" s="3">
        <v>46032.77638888889</v>
      </c>
      <c r="E393" s="1">
        <v>499.0</v>
      </c>
      <c r="F393" s="1" t="s">
        <v>35</v>
      </c>
      <c r="G393" s="1" t="s">
        <v>27</v>
      </c>
      <c r="H393" s="1">
        <v>36.0</v>
      </c>
      <c r="I393" s="4" t="str">
        <f>IFERROR(VLOOKUP(C393,Merchants!$A$2:$D$41,2,FALSE),"Merchant not found")</f>
        <v>Merchant_022</v>
      </c>
      <c r="J393" s="4" t="str">
        <f>IFERROR(VLOOKUP(C393,Merchants!$A$2:$D$41,3,FALSE),"Merchant not found")</f>
        <v>travel</v>
      </c>
      <c r="K393" s="4" t="str">
        <f>IFERROR(VLOOKUP(C393,Merchants!$A$2:$D$41,4,FALSE),"Merchant not found")</f>
        <v>South</v>
      </c>
      <c r="L393" s="4">
        <f>IFERROR(HLOOKUP(F393,Fee_Lookup!$B$1:$E$2,2,FALSE),"Fee not found")</f>
        <v>0</v>
      </c>
      <c r="M393" s="5">
        <f t="shared" si="1"/>
        <v>46032</v>
      </c>
      <c r="N393" s="4" t="str">
        <f t="shared" si="2"/>
        <v>22|2026-01-10</v>
      </c>
      <c r="O393" s="4">
        <f>IFERROR(VLOOKUP(N393,Merchant_Daily!$A:$B,2,FALSE),0)</f>
        <v>499</v>
      </c>
      <c r="P393" s="4" t="str">
        <f t="shared" si="3"/>
        <v>Standard Merchant Day</v>
      </c>
    </row>
    <row r="394">
      <c r="A394" s="1" t="s">
        <v>964</v>
      </c>
      <c r="B394" s="1">
        <v>269.0</v>
      </c>
      <c r="C394" s="1">
        <v>32.0</v>
      </c>
      <c r="D394" s="3">
        <v>46037.856944444444</v>
      </c>
      <c r="E394" s="1">
        <v>49.0</v>
      </c>
      <c r="F394" s="1" t="s">
        <v>46</v>
      </c>
      <c r="G394" s="1" t="s">
        <v>27</v>
      </c>
      <c r="H394" s="1">
        <v>17.0</v>
      </c>
      <c r="I394" s="4" t="str">
        <f>IFERROR(VLOOKUP(C394,Merchants!$A$2:$D$41,2,FALSE),"Merchant not found")</f>
        <v>Merchant_032</v>
      </c>
      <c r="J394" s="4" t="str">
        <f>IFERROR(VLOOKUP(C394,Merchants!$A$2:$D$41,3,FALSE),"Merchant not found")</f>
        <v>food_delivery</v>
      </c>
      <c r="K394" s="4" t="str">
        <f>IFERROR(VLOOKUP(C394,Merchants!$A$2:$D$41,4,FALSE),"Merchant not found")</f>
        <v>West</v>
      </c>
      <c r="L394" s="4">
        <f>IFERROR(HLOOKUP(F394,Fee_Lookup!$B$1:$E$2,2,FALSE),"Fee not found")</f>
        <v>0.01</v>
      </c>
      <c r="M394" s="5">
        <f t="shared" si="1"/>
        <v>46037</v>
      </c>
      <c r="N394" s="4" t="str">
        <f t="shared" si="2"/>
        <v>32|2026-01-15</v>
      </c>
      <c r="O394" s="4">
        <f>IFERROR(VLOOKUP(N394,Merchant_Daily!$A:$B,2,FALSE),0)</f>
        <v>148</v>
      </c>
      <c r="P394" s="4" t="str">
        <f t="shared" si="3"/>
        <v>Standard Merchant Day</v>
      </c>
    </row>
    <row r="395">
      <c r="A395" s="1" t="s">
        <v>965</v>
      </c>
      <c r="B395" s="1">
        <v>140.0</v>
      </c>
      <c r="C395" s="1">
        <v>13.0</v>
      </c>
      <c r="D395" s="3">
        <v>46050.68680555555</v>
      </c>
      <c r="E395" s="1">
        <v>2999.0</v>
      </c>
      <c r="F395" s="1" t="s">
        <v>35</v>
      </c>
      <c r="G395" s="1" t="s">
        <v>27</v>
      </c>
      <c r="H395" s="1">
        <v>14.0</v>
      </c>
      <c r="I395" s="4" t="str">
        <f>IFERROR(VLOOKUP(C395,Merchants!$A$2:$D$41,2,FALSE),"Merchant not found")</f>
        <v>Merchant_013</v>
      </c>
      <c r="J395" s="4" t="str">
        <f>IFERROR(VLOOKUP(C395,Merchants!$A$2:$D$41,3,FALSE),"Merchant not found")</f>
        <v>travel</v>
      </c>
      <c r="K395" s="4" t="str">
        <f>IFERROR(VLOOKUP(C395,Merchants!$A$2:$D$41,4,FALSE),"Merchant not found")</f>
        <v>East</v>
      </c>
      <c r="L395" s="4">
        <f>IFERROR(HLOOKUP(F395,Fee_Lookup!$B$1:$E$2,2,FALSE),"Fee not found")</f>
        <v>0</v>
      </c>
      <c r="M395" s="5">
        <f t="shared" si="1"/>
        <v>46050</v>
      </c>
      <c r="N395" s="4" t="str">
        <f t="shared" si="2"/>
        <v>13|2026-01-28</v>
      </c>
      <c r="O395" s="4">
        <f>IFERROR(VLOOKUP(N395,Merchant_Daily!$A:$B,2,FALSE),0)</f>
        <v>2999</v>
      </c>
      <c r="P395" s="4" t="str">
        <f t="shared" si="3"/>
        <v>Standard Merchant Day</v>
      </c>
    </row>
    <row r="396">
      <c r="A396" s="1" t="s">
        <v>966</v>
      </c>
      <c r="B396" s="1">
        <v>235.0</v>
      </c>
      <c r="C396" s="1">
        <v>17.0</v>
      </c>
      <c r="D396" s="3">
        <v>46033.240277777775</v>
      </c>
      <c r="E396" s="1">
        <v>2999.0</v>
      </c>
      <c r="F396" s="1" t="s">
        <v>35</v>
      </c>
      <c r="G396" s="1" t="s">
        <v>27</v>
      </c>
      <c r="H396" s="1">
        <v>91.0</v>
      </c>
      <c r="I396" s="4" t="str">
        <f>IFERROR(VLOOKUP(C396,Merchants!$A$2:$D$41,2,FALSE),"Merchant not found")</f>
        <v>Merchant_017</v>
      </c>
      <c r="J396" s="4" t="str">
        <f>IFERROR(VLOOKUP(C396,Merchants!$A$2:$D$41,3,FALSE),"Merchant not found")</f>
        <v>grocery</v>
      </c>
      <c r="K396" s="4" t="str">
        <f>IFERROR(VLOOKUP(C396,Merchants!$A$2:$D$41,4,FALSE),"Merchant not found")</f>
        <v>North</v>
      </c>
      <c r="L396" s="4">
        <f>IFERROR(HLOOKUP(F396,Fee_Lookup!$B$1:$E$2,2,FALSE),"Fee not found")</f>
        <v>0</v>
      </c>
      <c r="M396" s="5">
        <f t="shared" si="1"/>
        <v>46033</v>
      </c>
      <c r="N396" s="4" t="str">
        <f t="shared" si="2"/>
        <v>17|2026-01-11</v>
      </c>
      <c r="O396" s="4">
        <f>IFERROR(VLOOKUP(N396,Merchant_Daily!$A:$B,2,FALSE),0)</f>
        <v>7998</v>
      </c>
      <c r="P396" s="4" t="str">
        <f t="shared" si="3"/>
        <v>High-Value Merchant Day</v>
      </c>
    </row>
    <row r="397">
      <c r="A397" s="1" t="s">
        <v>967</v>
      </c>
      <c r="B397" s="1">
        <v>173.0</v>
      </c>
      <c r="C397" s="1">
        <v>19.0</v>
      </c>
      <c r="D397" s="3">
        <v>46028.032638888886</v>
      </c>
      <c r="E397" s="1">
        <v>499.0</v>
      </c>
      <c r="F397" s="1" t="s">
        <v>35</v>
      </c>
      <c r="G397" s="1" t="s">
        <v>30</v>
      </c>
      <c r="H397" s="1">
        <v>72.0</v>
      </c>
      <c r="I397" s="4" t="str">
        <f>IFERROR(VLOOKUP(C397,Merchants!$A$2:$D$41,2,FALSE),"Merchant not found")</f>
        <v>Merchant_019</v>
      </c>
      <c r="J397" s="4" t="str">
        <f>IFERROR(VLOOKUP(C397,Merchants!$A$2:$D$41,3,FALSE),"Merchant not found")</f>
        <v>grocery</v>
      </c>
      <c r="K397" s="4" t="str">
        <f>IFERROR(VLOOKUP(C397,Merchants!$A$2:$D$41,4,FALSE),"Merchant not found")</f>
        <v>North</v>
      </c>
      <c r="L397" s="4">
        <f>IFERROR(HLOOKUP(F397,Fee_Lookup!$B$1:$E$2,2,FALSE),"Fee not found")</f>
        <v>0</v>
      </c>
      <c r="M397" s="5">
        <f t="shared" si="1"/>
        <v>46028</v>
      </c>
      <c r="N397" s="4" t="str">
        <f t="shared" si="2"/>
        <v>19|2026-01-06</v>
      </c>
      <c r="O397" s="4">
        <f>IFERROR(VLOOKUP(N397,Merchant_Daily!$A:$B,2,FALSE),0)</f>
        <v>499</v>
      </c>
      <c r="P397" s="4" t="str">
        <f t="shared" si="3"/>
        <v>Standard Merchant Day</v>
      </c>
    </row>
    <row r="398">
      <c r="A398" s="1" t="s">
        <v>968</v>
      </c>
      <c r="B398" s="1">
        <v>313.0</v>
      </c>
      <c r="C398" s="1">
        <v>26.0</v>
      </c>
      <c r="D398" s="3">
        <v>46044.25763888889</v>
      </c>
      <c r="E398" s="1">
        <v>499.0</v>
      </c>
      <c r="F398" s="1" t="s">
        <v>35</v>
      </c>
      <c r="G398" s="1" t="s">
        <v>27</v>
      </c>
      <c r="H398" s="1">
        <v>54.0</v>
      </c>
      <c r="I398" s="4" t="str">
        <f>IFERROR(VLOOKUP(C398,Merchants!$A$2:$D$41,2,FALSE),"Merchant not found")</f>
        <v>Merchant_026</v>
      </c>
      <c r="J398" s="4" t="str">
        <f>IFERROR(VLOOKUP(C398,Merchants!$A$2:$D$41,3,FALSE),"Merchant not found")</f>
        <v>food_delivery</v>
      </c>
      <c r="K398" s="4" t="str">
        <f>IFERROR(VLOOKUP(C398,Merchants!$A$2:$D$41,4,FALSE),"Merchant not found")</f>
        <v>East</v>
      </c>
      <c r="L398" s="4">
        <f>IFERROR(HLOOKUP(F398,Fee_Lookup!$B$1:$E$2,2,FALSE),"Fee not found")</f>
        <v>0</v>
      </c>
      <c r="M398" s="5">
        <f t="shared" si="1"/>
        <v>46044</v>
      </c>
      <c r="N398" s="4" t="str">
        <f t="shared" si="2"/>
        <v>26|2026-01-22</v>
      </c>
      <c r="O398" s="4">
        <f>IFERROR(VLOOKUP(N398,Merchant_Daily!$A:$B,2,FALSE),0)</f>
        <v>499</v>
      </c>
      <c r="P398" s="4" t="str">
        <f t="shared" si="3"/>
        <v>Standard Merchant Day</v>
      </c>
    </row>
    <row r="399">
      <c r="A399" s="1" t="s">
        <v>969</v>
      </c>
      <c r="B399" s="1">
        <v>206.0</v>
      </c>
      <c r="C399" s="1">
        <v>7.0</v>
      </c>
      <c r="D399" s="3">
        <v>46039.42013888889</v>
      </c>
      <c r="E399" s="1">
        <v>149.0</v>
      </c>
      <c r="F399" s="1" t="s">
        <v>26</v>
      </c>
      <c r="G399" s="1" t="s">
        <v>27</v>
      </c>
      <c r="H399" s="1">
        <v>23.0</v>
      </c>
      <c r="I399" s="4" t="str">
        <f>IFERROR(VLOOKUP(C399,Merchants!$A$2:$D$41,2,FALSE),"Merchant not found")</f>
        <v>Merchant_007</v>
      </c>
      <c r="J399" s="4" t="str">
        <f>IFERROR(VLOOKUP(C399,Merchants!$A$2:$D$41,3,FALSE),"Merchant not found")</f>
        <v>food_delivery</v>
      </c>
      <c r="K399" s="4" t="str">
        <f>IFERROR(VLOOKUP(C399,Merchants!$A$2:$D$41,4,FALSE),"Merchant not found")</f>
        <v>East</v>
      </c>
      <c r="L399" s="4">
        <f>IFERROR(HLOOKUP(F399,Fee_Lookup!$B$1:$E$2,2,FALSE),"Fee not found")</f>
        <v>0.005</v>
      </c>
      <c r="M399" s="5">
        <f t="shared" si="1"/>
        <v>46039</v>
      </c>
      <c r="N399" s="4" t="str">
        <f t="shared" si="2"/>
        <v>7|2026-01-17</v>
      </c>
      <c r="O399" s="4">
        <f>IFERROR(VLOOKUP(N399,Merchant_Daily!$A:$B,2,FALSE),0)</f>
        <v>149</v>
      </c>
      <c r="P399" s="4" t="str">
        <f t="shared" si="3"/>
        <v>Standard Merchant Day</v>
      </c>
    </row>
    <row r="400">
      <c r="A400" s="1" t="s">
        <v>970</v>
      </c>
      <c r="B400" s="1">
        <v>128.0</v>
      </c>
      <c r="C400" s="1">
        <v>1.0</v>
      </c>
      <c r="D400" s="3">
        <v>46027.63888888889</v>
      </c>
      <c r="E400" s="1">
        <v>1499.0</v>
      </c>
      <c r="F400" s="1" t="s">
        <v>47</v>
      </c>
      <c r="G400" s="1" t="s">
        <v>27</v>
      </c>
      <c r="H400" s="1">
        <v>33.0</v>
      </c>
      <c r="I400" s="4" t="str">
        <f>IFERROR(VLOOKUP(C400,Merchants!$A$2:$D$41,2,FALSE),"Merchant not found")</f>
        <v>Merchant_001</v>
      </c>
      <c r="J400" s="4" t="str">
        <f>IFERROR(VLOOKUP(C400,Merchants!$A$2:$D$41,3,FALSE),"Merchant not found")</f>
        <v>ecommerce</v>
      </c>
      <c r="K400" s="4" t="str">
        <f>IFERROR(VLOOKUP(C400,Merchants!$A$2:$D$41,4,FALSE),"Merchant not found")</f>
        <v>South</v>
      </c>
      <c r="L400" s="4">
        <f>IFERROR(HLOOKUP(F400,Fee_Lookup!$B$1:$E$2,2,FALSE),"Fee not found")</f>
        <v>0.015</v>
      </c>
      <c r="M400" s="5">
        <f t="shared" si="1"/>
        <v>46027</v>
      </c>
      <c r="N400" s="4" t="str">
        <f t="shared" si="2"/>
        <v>1|2026-01-05</v>
      </c>
      <c r="O400" s="4">
        <f>IFERROR(VLOOKUP(N400,Merchant_Daily!$A:$B,2,FALSE),0)</f>
        <v>1499</v>
      </c>
      <c r="P400" s="4" t="str">
        <f t="shared" si="3"/>
        <v>Standard Merchant Day</v>
      </c>
    </row>
    <row r="401">
      <c r="A401" s="1" t="s">
        <v>971</v>
      </c>
      <c r="B401" s="1">
        <v>137.0</v>
      </c>
      <c r="C401" s="1">
        <v>22.0</v>
      </c>
      <c r="D401" s="3">
        <v>46035.311111111114</v>
      </c>
      <c r="E401" s="1">
        <v>799.0</v>
      </c>
      <c r="F401" s="1" t="s">
        <v>35</v>
      </c>
      <c r="G401" s="1" t="s">
        <v>30</v>
      </c>
      <c r="H401" s="1">
        <v>38.0</v>
      </c>
      <c r="I401" s="4" t="str">
        <f>IFERROR(VLOOKUP(C401,Merchants!$A$2:$D$41,2,FALSE),"Merchant not found")</f>
        <v>Merchant_022</v>
      </c>
      <c r="J401" s="4" t="str">
        <f>IFERROR(VLOOKUP(C401,Merchants!$A$2:$D$41,3,FALSE),"Merchant not found")</f>
        <v>travel</v>
      </c>
      <c r="K401" s="4" t="str">
        <f>IFERROR(VLOOKUP(C401,Merchants!$A$2:$D$41,4,FALSE),"Merchant not found")</f>
        <v>South</v>
      </c>
      <c r="L401" s="4">
        <f>IFERROR(HLOOKUP(F401,Fee_Lookup!$B$1:$E$2,2,FALSE),"Fee not found")</f>
        <v>0</v>
      </c>
      <c r="M401" s="5">
        <f t="shared" si="1"/>
        <v>46035</v>
      </c>
      <c r="N401" s="4" t="str">
        <f t="shared" si="2"/>
        <v>22|2026-01-13</v>
      </c>
      <c r="O401" s="4">
        <f>IFERROR(VLOOKUP(N401,Merchant_Daily!$A:$B,2,FALSE),0)</f>
        <v>5798</v>
      </c>
      <c r="P401" s="4" t="str">
        <f t="shared" si="3"/>
        <v>High-Value Merchant Day</v>
      </c>
    </row>
    <row r="402">
      <c r="A402" s="1" t="s">
        <v>972</v>
      </c>
      <c r="B402" s="1">
        <v>6.0</v>
      </c>
      <c r="C402" s="1">
        <v>17.0</v>
      </c>
      <c r="D402" s="3">
        <v>46041.98333333333</v>
      </c>
      <c r="E402" s="1">
        <v>49.0</v>
      </c>
      <c r="F402" s="1" t="s">
        <v>35</v>
      </c>
      <c r="G402" s="1" t="s">
        <v>27</v>
      </c>
      <c r="H402" s="1">
        <v>83.0</v>
      </c>
      <c r="I402" s="4" t="str">
        <f>IFERROR(VLOOKUP(C402,Merchants!$A$2:$D$41,2,FALSE),"Merchant not found")</f>
        <v>Merchant_017</v>
      </c>
      <c r="J402" s="4" t="str">
        <f>IFERROR(VLOOKUP(C402,Merchants!$A$2:$D$41,3,FALSE),"Merchant not found")</f>
        <v>grocery</v>
      </c>
      <c r="K402" s="4" t="str">
        <f>IFERROR(VLOOKUP(C402,Merchants!$A$2:$D$41,4,FALSE),"Merchant not found")</f>
        <v>North</v>
      </c>
      <c r="L402" s="4">
        <f>IFERROR(HLOOKUP(F402,Fee_Lookup!$B$1:$E$2,2,FALSE),"Fee not found")</f>
        <v>0</v>
      </c>
      <c r="M402" s="5">
        <f t="shared" si="1"/>
        <v>46041</v>
      </c>
      <c r="N402" s="4" t="str">
        <f t="shared" si="2"/>
        <v>17|2026-01-19</v>
      </c>
      <c r="O402" s="4">
        <f>IFERROR(VLOOKUP(N402,Merchant_Daily!$A:$B,2,FALSE),0)</f>
        <v>49</v>
      </c>
      <c r="P402" s="4" t="str">
        <f t="shared" si="3"/>
        <v>Standard Merchant Day</v>
      </c>
    </row>
    <row r="403">
      <c r="A403" s="1" t="s">
        <v>973</v>
      </c>
      <c r="B403" s="1">
        <v>32.0</v>
      </c>
      <c r="C403" s="1">
        <v>8.0</v>
      </c>
      <c r="D403" s="3">
        <v>46034.927083333336</v>
      </c>
      <c r="E403" s="1">
        <v>299.0</v>
      </c>
      <c r="F403" s="1" t="s">
        <v>46</v>
      </c>
      <c r="G403" s="1" t="s">
        <v>27</v>
      </c>
      <c r="H403" s="1">
        <v>59.0</v>
      </c>
      <c r="I403" s="4" t="str">
        <f>IFERROR(VLOOKUP(C403,Merchants!$A$2:$D$41,2,FALSE),"Merchant not found")</f>
        <v>Merchant_008</v>
      </c>
      <c r="J403" s="4" t="str">
        <f>IFERROR(VLOOKUP(C403,Merchants!$A$2:$D$41,3,FALSE),"Merchant not found")</f>
        <v>food_delivery</v>
      </c>
      <c r="K403" s="4" t="str">
        <f>IFERROR(VLOOKUP(C403,Merchants!$A$2:$D$41,4,FALSE),"Merchant not found")</f>
        <v>North</v>
      </c>
      <c r="L403" s="4">
        <f>IFERROR(HLOOKUP(F403,Fee_Lookup!$B$1:$E$2,2,FALSE),"Fee not found")</f>
        <v>0.01</v>
      </c>
      <c r="M403" s="5">
        <f t="shared" si="1"/>
        <v>46034</v>
      </c>
      <c r="N403" s="4" t="str">
        <f t="shared" si="2"/>
        <v>8|2026-01-12</v>
      </c>
      <c r="O403" s="4">
        <f>IFERROR(VLOOKUP(N403,Merchant_Daily!$A:$B,2,FALSE),0)</f>
        <v>398</v>
      </c>
      <c r="P403" s="4" t="str">
        <f t="shared" si="3"/>
        <v>Standard Merchant Day</v>
      </c>
    </row>
    <row r="404">
      <c r="A404" s="1" t="s">
        <v>974</v>
      </c>
      <c r="B404" s="1">
        <v>258.0</v>
      </c>
      <c r="C404" s="1">
        <v>20.0</v>
      </c>
      <c r="D404" s="3">
        <v>46032.225694444445</v>
      </c>
      <c r="E404" s="1">
        <v>149.0</v>
      </c>
      <c r="F404" s="1" t="s">
        <v>35</v>
      </c>
      <c r="G404" s="1" t="s">
        <v>27</v>
      </c>
      <c r="H404" s="1">
        <v>88.0</v>
      </c>
      <c r="I404" s="4" t="str">
        <f>IFERROR(VLOOKUP(C404,Merchants!$A$2:$D$41,2,FALSE),"Merchant not found")</f>
        <v>Merchant_020</v>
      </c>
      <c r="J404" s="4" t="str">
        <f>IFERROR(VLOOKUP(C404,Merchants!$A$2:$D$41,3,FALSE),"Merchant not found")</f>
        <v>food_delivery</v>
      </c>
      <c r="K404" s="4" t="str">
        <f>IFERROR(VLOOKUP(C404,Merchants!$A$2:$D$41,4,FALSE),"Merchant not found")</f>
        <v>East</v>
      </c>
      <c r="L404" s="4">
        <f>IFERROR(HLOOKUP(F404,Fee_Lookup!$B$1:$E$2,2,FALSE),"Fee not found")</f>
        <v>0</v>
      </c>
      <c r="M404" s="5">
        <f t="shared" si="1"/>
        <v>46032</v>
      </c>
      <c r="N404" s="4" t="str">
        <f t="shared" si="2"/>
        <v>20|2026-01-10</v>
      </c>
      <c r="O404" s="4">
        <f>IFERROR(VLOOKUP(N404,Merchant_Daily!$A:$B,2,FALSE),0)</f>
        <v>149</v>
      </c>
      <c r="P404" s="4" t="str">
        <f t="shared" si="3"/>
        <v>Standard Merchant Day</v>
      </c>
    </row>
    <row r="405">
      <c r="A405" s="1" t="s">
        <v>975</v>
      </c>
      <c r="B405" s="1">
        <v>152.0</v>
      </c>
      <c r="C405" s="1">
        <v>24.0</v>
      </c>
      <c r="D405" s="3">
        <v>46026.873611111114</v>
      </c>
      <c r="E405" s="1">
        <v>149.0</v>
      </c>
      <c r="F405" s="1" t="s">
        <v>35</v>
      </c>
      <c r="G405" s="1" t="s">
        <v>34</v>
      </c>
      <c r="H405" s="1">
        <v>78.0</v>
      </c>
      <c r="I405" s="4" t="str">
        <f>IFERROR(VLOOKUP(C405,Merchants!$A$2:$D$41,2,FALSE),"Merchant not found")</f>
        <v>Merchant_024</v>
      </c>
      <c r="J405" s="4" t="str">
        <f>IFERROR(VLOOKUP(C405,Merchants!$A$2:$D$41,3,FALSE),"Merchant not found")</f>
        <v>grocery</v>
      </c>
      <c r="K405" s="4" t="str">
        <f>IFERROR(VLOOKUP(C405,Merchants!$A$2:$D$41,4,FALSE),"Merchant not found")</f>
        <v>North</v>
      </c>
      <c r="L405" s="4">
        <f>IFERROR(HLOOKUP(F405,Fee_Lookup!$B$1:$E$2,2,FALSE),"Fee not found")</f>
        <v>0</v>
      </c>
      <c r="M405" s="5">
        <f t="shared" si="1"/>
        <v>46026</v>
      </c>
      <c r="N405" s="4" t="str">
        <f t="shared" si="2"/>
        <v>24|2026-01-04</v>
      </c>
      <c r="O405" s="4">
        <f>IFERROR(VLOOKUP(N405,Merchant_Daily!$A:$B,2,FALSE),0)</f>
        <v>149</v>
      </c>
      <c r="P405" s="4" t="str">
        <f t="shared" si="3"/>
        <v>Standard Merchant Day</v>
      </c>
    </row>
    <row r="406">
      <c r="A406" s="1" t="s">
        <v>976</v>
      </c>
      <c r="B406" s="1">
        <v>245.0</v>
      </c>
      <c r="C406" s="1">
        <v>10.0</v>
      </c>
      <c r="D406" s="3">
        <v>46030.29722222222</v>
      </c>
      <c r="E406" s="1">
        <v>799.0</v>
      </c>
      <c r="F406" s="1" t="s">
        <v>26</v>
      </c>
      <c r="G406" s="1" t="s">
        <v>27</v>
      </c>
      <c r="H406" s="1">
        <v>58.0</v>
      </c>
      <c r="I406" s="4" t="str">
        <f>IFERROR(VLOOKUP(C406,Merchants!$A$2:$D$41,2,FALSE),"Merchant not found")</f>
        <v>Merchant_010</v>
      </c>
      <c r="J406" s="4" t="str">
        <f>IFERROR(VLOOKUP(C406,Merchants!$A$2:$D$41,3,FALSE),"Merchant not found")</f>
        <v>grocery</v>
      </c>
      <c r="K406" s="4" t="str">
        <f>IFERROR(VLOOKUP(C406,Merchants!$A$2:$D$41,4,FALSE),"Merchant not found")</f>
        <v>West</v>
      </c>
      <c r="L406" s="4">
        <f>IFERROR(HLOOKUP(F406,Fee_Lookup!$B$1:$E$2,2,FALSE),"Fee not found")</f>
        <v>0.005</v>
      </c>
      <c r="M406" s="5">
        <f t="shared" si="1"/>
        <v>46030</v>
      </c>
      <c r="N406" s="4" t="str">
        <f t="shared" si="2"/>
        <v>10|2026-01-08</v>
      </c>
      <c r="O406" s="4">
        <f>IFERROR(VLOOKUP(N406,Merchant_Daily!$A:$B,2,FALSE),0)</f>
        <v>799</v>
      </c>
      <c r="P406" s="4" t="str">
        <f t="shared" si="3"/>
        <v>Standard Merchant Day</v>
      </c>
    </row>
    <row r="407">
      <c r="A407" s="1" t="s">
        <v>977</v>
      </c>
      <c r="B407" s="1">
        <v>213.0</v>
      </c>
      <c r="C407" s="1">
        <v>36.0</v>
      </c>
      <c r="D407" s="3">
        <v>46046.80763888889</v>
      </c>
      <c r="E407" s="1">
        <v>49.0</v>
      </c>
      <c r="F407" s="1" t="s">
        <v>26</v>
      </c>
      <c r="G407" s="1" t="s">
        <v>27</v>
      </c>
      <c r="H407" s="1">
        <v>60.0</v>
      </c>
      <c r="I407" s="4" t="str">
        <f>IFERROR(VLOOKUP(C407,Merchants!$A$2:$D$41,2,FALSE),"Merchant not found")</f>
        <v>Merchant_036</v>
      </c>
      <c r="J407" s="4" t="str">
        <f>IFERROR(VLOOKUP(C407,Merchants!$A$2:$D$41,3,FALSE),"Merchant not found")</f>
        <v>entertainment</v>
      </c>
      <c r="K407" s="4" t="str">
        <f>IFERROR(VLOOKUP(C407,Merchants!$A$2:$D$41,4,FALSE),"Merchant not found")</f>
        <v>East</v>
      </c>
      <c r="L407" s="4">
        <f>IFERROR(HLOOKUP(F407,Fee_Lookup!$B$1:$E$2,2,FALSE),"Fee not found")</f>
        <v>0.005</v>
      </c>
      <c r="M407" s="5">
        <f t="shared" si="1"/>
        <v>46046</v>
      </c>
      <c r="N407" s="4" t="str">
        <f t="shared" si="2"/>
        <v>36|2026-01-24</v>
      </c>
      <c r="O407" s="4">
        <f>IFERROR(VLOOKUP(N407,Merchant_Daily!$A:$B,2,FALSE),0)</f>
        <v>1647</v>
      </c>
      <c r="P407" s="4" t="str">
        <f t="shared" si="3"/>
        <v>Standard Merchant Day</v>
      </c>
    </row>
    <row r="408">
      <c r="A408" s="1" t="s">
        <v>978</v>
      </c>
      <c r="B408" s="1">
        <v>341.0</v>
      </c>
      <c r="C408" s="1">
        <v>14.0</v>
      </c>
      <c r="D408" s="3">
        <v>46047.74375</v>
      </c>
      <c r="E408" s="1">
        <v>99.0</v>
      </c>
      <c r="F408" s="1" t="s">
        <v>47</v>
      </c>
      <c r="G408" s="1" t="s">
        <v>27</v>
      </c>
      <c r="H408" s="1">
        <v>97.0</v>
      </c>
      <c r="I408" s="4" t="str">
        <f>IFERROR(VLOOKUP(C408,Merchants!$A$2:$D$41,2,FALSE),"Merchant not found")</f>
        <v>Merchant_014</v>
      </c>
      <c r="J408" s="4" t="str">
        <f>IFERROR(VLOOKUP(C408,Merchants!$A$2:$D$41,3,FALSE),"Merchant not found")</f>
        <v>grocery</v>
      </c>
      <c r="K408" s="4" t="str">
        <f>IFERROR(VLOOKUP(C408,Merchants!$A$2:$D$41,4,FALSE),"Merchant not found")</f>
        <v>East</v>
      </c>
      <c r="L408" s="4">
        <f>IFERROR(HLOOKUP(F408,Fee_Lookup!$B$1:$E$2,2,FALSE),"Fee not found")</f>
        <v>0.015</v>
      </c>
      <c r="M408" s="5">
        <f t="shared" si="1"/>
        <v>46047</v>
      </c>
      <c r="N408" s="4" t="str">
        <f t="shared" si="2"/>
        <v>14|2026-01-25</v>
      </c>
      <c r="O408" s="4">
        <f>IFERROR(VLOOKUP(N408,Merchant_Daily!$A:$B,2,FALSE),0)</f>
        <v>1598</v>
      </c>
      <c r="P408" s="4" t="str">
        <f t="shared" si="3"/>
        <v>Standard Merchant Day</v>
      </c>
    </row>
    <row r="409">
      <c r="A409" s="1" t="s">
        <v>979</v>
      </c>
      <c r="B409" s="1">
        <v>306.0</v>
      </c>
      <c r="C409" s="1">
        <v>6.0</v>
      </c>
      <c r="D409" s="3">
        <v>46030.90833333333</v>
      </c>
      <c r="E409" s="1">
        <v>149.0</v>
      </c>
      <c r="F409" s="1" t="s">
        <v>47</v>
      </c>
      <c r="G409" s="1" t="s">
        <v>27</v>
      </c>
      <c r="H409" s="1">
        <v>67.0</v>
      </c>
      <c r="I409" s="4" t="str">
        <f>IFERROR(VLOOKUP(C409,Merchants!$A$2:$D$41,2,FALSE),"Merchant not found")</f>
        <v>Merchant_006</v>
      </c>
      <c r="J409" s="4" t="str">
        <f>IFERROR(VLOOKUP(C409,Merchants!$A$2:$D$41,3,FALSE),"Merchant not found")</f>
        <v>food_delivery</v>
      </c>
      <c r="K409" s="4" t="str">
        <f>IFERROR(VLOOKUP(C409,Merchants!$A$2:$D$41,4,FALSE),"Merchant not found")</f>
        <v>South</v>
      </c>
      <c r="L409" s="4">
        <f>IFERROR(HLOOKUP(F409,Fee_Lookup!$B$1:$E$2,2,FALSE),"Fee not found")</f>
        <v>0.015</v>
      </c>
      <c r="M409" s="5">
        <f t="shared" si="1"/>
        <v>46030</v>
      </c>
      <c r="N409" s="4" t="str">
        <f t="shared" si="2"/>
        <v>6|2026-01-08</v>
      </c>
      <c r="O409" s="4">
        <f>IFERROR(VLOOKUP(N409,Merchant_Daily!$A:$B,2,FALSE),0)</f>
        <v>149</v>
      </c>
      <c r="P409" s="4" t="str">
        <f t="shared" si="3"/>
        <v>Standard Merchant Day</v>
      </c>
    </row>
    <row r="410">
      <c r="A410" s="1" t="s">
        <v>980</v>
      </c>
      <c r="B410" s="1">
        <v>186.0</v>
      </c>
      <c r="C410" s="1">
        <v>5.0</v>
      </c>
      <c r="D410" s="3">
        <v>46037.697916666664</v>
      </c>
      <c r="E410" s="1">
        <v>499.0</v>
      </c>
      <c r="F410" s="1" t="s">
        <v>35</v>
      </c>
      <c r="G410" s="1" t="s">
        <v>27</v>
      </c>
      <c r="H410" s="1">
        <v>72.0</v>
      </c>
      <c r="I410" s="4" t="str">
        <f>IFERROR(VLOOKUP(C410,Merchants!$A$2:$D$41,2,FALSE),"Merchant not found")</f>
        <v>Merchant_005</v>
      </c>
      <c r="J410" s="4" t="str">
        <f>IFERROR(VLOOKUP(C410,Merchants!$A$2:$D$41,3,FALSE),"Merchant not found")</f>
        <v>recharge</v>
      </c>
      <c r="K410" s="4" t="str">
        <f>IFERROR(VLOOKUP(C410,Merchants!$A$2:$D$41,4,FALSE),"Merchant not found")</f>
        <v>South</v>
      </c>
      <c r="L410" s="4">
        <f>IFERROR(HLOOKUP(F410,Fee_Lookup!$B$1:$E$2,2,FALSE),"Fee not found")</f>
        <v>0</v>
      </c>
      <c r="M410" s="5">
        <f t="shared" si="1"/>
        <v>46037</v>
      </c>
      <c r="N410" s="4" t="str">
        <f t="shared" si="2"/>
        <v>5|2026-01-15</v>
      </c>
      <c r="O410" s="4">
        <f>IFERROR(VLOOKUP(N410,Merchant_Daily!$A:$B,2,FALSE),0)</f>
        <v>548</v>
      </c>
      <c r="P410" s="4" t="str">
        <f t="shared" si="3"/>
        <v>Standard Merchant Day</v>
      </c>
    </row>
    <row r="411">
      <c r="A411" s="1" t="s">
        <v>981</v>
      </c>
      <c r="B411" s="1">
        <v>281.0</v>
      </c>
      <c r="C411" s="1">
        <v>33.0</v>
      </c>
      <c r="D411" s="3">
        <v>46026.07847222222</v>
      </c>
      <c r="E411" s="1">
        <v>4999.0</v>
      </c>
      <c r="F411" s="1" t="s">
        <v>35</v>
      </c>
      <c r="G411" s="1" t="s">
        <v>27</v>
      </c>
      <c r="H411" s="1">
        <v>25.0</v>
      </c>
      <c r="I411" s="4" t="str">
        <f>IFERROR(VLOOKUP(C411,Merchants!$A$2:$D$41,2,FALSE),"Merchant not found")</f>
        <v>Merchant_033</v>
      </c>
      <c r="J411" s="4" t="str">
        <f>IFERROR(VLOOKUP(C411,Merchants!$A$2:$D$41,3,FALSE),"Merchant not found")</f>
        <v>bill_payment</v>
      </c>
      <c r="K411" s="4" t="str">
        <f>IFERROR(VLOOKUP(C411,Merchants!$A$2:$D$41,4,FALSE),"Merchant not found")</f>
        <v>East</v>
      </c>
      <c r="L411" s="4">
        <f>IFERROR(HLOOKUP(F411,Fee_Lookup!$B$1:$E$2,2,FALSE),"Fee not found")</f>
        <v>0</v>
      </c>
      <c r="M411" s="5">
        <f t="shared" si="1"/>
        <v>46026</v>
      </c>
      <c r="N411" s="4" t="str">
        <f t="shared" si="2"/>
        <v>33|2026-01-04</v>
      </c>
      <c r="O411" s="4">
        <f>IFERROR(VLOOKUP(N411,Merchant_Daily!$A:$B,2,FALSE),0)</f>
        <v>4999</v>
      </c>
      <c r="P411" s="4" t="str">
        <f t="shared" si="3"/>
        <v>Standard Merchant Day</v>
      </c>
    </row>
    <row r="412">
      <c r="A412" s="1" t="s">
        <v>982</v>
      </c>
      <c r="B412" s="1">
        <v>85.0</v>
      </c>
      <c r="C412" s="1">
        <v>21.0</v>
      </c>
      <c r="D412" s="3">
        <v>46041.714583333334</v>
      </c>
      <c r="E412" s="1">
        <v>99.0</v>
      </c>
      <c r="F412" s="1" t="s">
        <v>35</v>
      </c>
      <c r="G412" s="1" t="s">
        <v>27</v>
      </c>
      <c r="H412" s="1">
        <v>66.0</v>
      </c>
      <c r="I412" s="4" t="str">
        <f>IFERROR(VLOOKUP(C412,Merchants!$A$2:$D$41,2,FALSE),"Merchant not found")</f>
        <v>Merchant_021</v>
      </c>
      <c r="J412" s="4" t="str">
        <f>IFERROR(VLOOKUP(C412,Merchants!$A$2:$D$41,3,FALSE),"Merchant not found")</f>
        <v>food_delivery</v>
      </c>
      <c r="K412" s="4" t="str">
        <f>IFERROR(VLOOKUP(C412,Merchants!$A$2:$D$41,4,FALSE),"Merchant not found")</f>
        <v>East</v>
      </c>
      <c r="L412" s="4">
        <f>IFERROR(HLOOKUP(F412,Fee_Lookup!$B$1:$E$2,2,FALSE),"Fee not found")</f>
        <v>0</v>
      </c>
      <c r="M412" s="5">
        <f t="shared" si="1"/>
        <v>46041</v>
      </c>
      <c r="N412" s="4" t="str">
        <f t="shared" si="2"/>
        <v>21|2026-01-19</v>
      </c>
      <c r="O412" s="4">
        <f>IFERROR(VLOOKUP(N412,Merchant_Daily!$A:$B,2,FALSE),0)</f>
        <v>99</v>
      </c>
      <c r="P412" s="4" t="str">
        <f t="shared" si="3"/>
        <v>Standard Merchant Day</v>
      </c>
    </row>
    <row r="413">
      <c r="A413" s="1" t="s">
        <v>983</v>
      </c>
      <c r="B413" s="1">
        <v>106.0</v>
      </c>
      <c r="C413" s="1">
        <v>38.0</v>
      </c>
      <c r="D413" s="3">
        <v>46037.154861111114</v>
      </c>
      <c r="E413" s="1">
        <v>499.0</v>
      </c>
      <c r="F413" s="1" t="s">
        <v>35</v>
      </c>
      <c r="G413" s="1" t="s">
        <v>27</v>
      </c>
      <c r="H413" s="1">
        <v>62.0</v>
      </c>
      <c r="I413" s="4" t="str">
        <f>IFERROR(VLOOKUP(C413,Merchants!$A$2:$D$41,2,FALSE),"Merchant not found")</f>
        <v>Merchant_038</v>
      </c>
      <c r="J413" s="4" t="str">
        <f>IFERROR(VLOOKUP(C413,Merchants!$A$2:$D$41,3,FALSE),"Merchant not found")</f>
        <v>grocery</v>
      </c>
      <c r="K413" s="4" t="str">
        <f>IFERROR(VLOOKUP(C413,Merchants!$A$2:$D$41,4,FALSE),"Merchant not found")</f>
        <v>East</v>
      </c>
      <c r="L413" s="4">
        <f>IFERROR(HLOOKUP(F413,Fee_Lookup!$B$1:$E$2,2,FALSE),"Fee not found")</f>
        <v>0</v>
      </c>
      <c r="M413" s="5">
        <f t="shared" si="1"/>
        <v>46037</v>
      </c>
      <c r="N413" s="4" t="str">
        <f t="shared" si="2"/>
        <v>38|2026-01-15</v>
      </c>
      <c r="O413" s="4">
        <f>IFERROR(VLOOKUP(N413,Merchant_Daily!$A:$B,2,FALSE),0)</f>
        <v>499</v>
      </c>
      <c r="P413" s="4" t="str">
        <f t="shared" si="3"/>
        <v>Standard Merchant Day</v>
      </c>
    </row>
    <row r="414">
      <c r="A414" s="1" t="s">
        <v>984</v>
      </c>
      <c r="B414" s="1">
        <v>29.0</v>
      </c>
      <c r="C414" s="1">
        <v>30.0</v>
      </c>
      <c r="D414" s="3">
        <v>46025.686111111114</v>
      </c>
      <c r="E414" s="1">
        <v>149.0</v>
      </c>
      <c r="F414" s="1" t="s">
        <v>47</v>
      </c>
      <c r="G414" s="1" t="s">
        <v>27</v>
      </c>
      <c r="H414" s="1">
        <v>16.0</v>
      </c>
      <c r="I414" s="4" t="str">
        <f>IFERROR(VLOOKUP(C414,Merchants!$A$2:$D$41,2,FALSE),"Merchant not found")</f>
        <v>Merchant_030</v>
      </c>
      <c r="J414" s="4" t="str">
        <f>IFERROR(VLOOKUP(C414,Merchants!$A$2:$D$41,3,FALSE),"Merchant not found")</f>
        <v>travel</v>
      </c>
      <c r="K414" s="4" t="str">
        <f>IFERROR(VLOOKUP(C414,Merchants!$A$2:$D$41,4,FALSE),"Merchant not found")</f>
        <v>West</v>
      </c>
      <c r="L414" s="4">
        <f>IFERROR(HLOOKUP(F414,Fee_Lookup!$B$1:$E$2,2,FALSE),"Fee not found")</f>
        <v>0.015</v>
      </c>
      <c r="M414" s="5">
        <f t="shared" si="1"/>
        <v>46025</v>
      </c>
      <c r="N414" s="4" t="str">
        <f t="shared" si="2"/>
        <v>30|2026-01-03</v>
      </c>
      <c r="O414" s="4">
        <f>IFERROR(VLOOKUP(N414,Merchant_Daily!$A:$B,2,FALSE),0)</f>
        <v>149</v>
      </c>
      <c r="P414" s="4" t="str">
        <f t="shared" si="3"/>
        <v>Standard Merchant Day</v>
      </c>
    </row>
    <row r="415">
      <c r="A415" s="1" t="s">
        <v>985</v>
      </c>
      <c r="B415" s="1">
        <v>289.0</v>
      </c>
      <c r="C415" s="1">
        <v>4.0</v>
      </c>
      <c r="D415" s="3">
        <v>46039.56180555555</v>
      </c>
      <c r="E415" s="1">
        <v>1499.0</v>
      </c>
      <c r="F415" s="1" t="s">
        <v>46</v>
      </c>
      <c r="G415" s="1" t="s">
        <v>27</v>
      </c>
      <c r="H415" s="1">
        <v>71.0</v>
      </c>
      <c r="I415" s="4" t="str">
        <f>IFERROR(VLOOKUP(C415,Merchants!$A$2:$D$41,2,FALSE),"Merchant not found")</f>
        <v>Merchant_004</v>
      </c>
      <c r="J415" s="4" t="str">
        <f>IFERROR(VLOOKUP(C415,Merchants!$A$2:$D$41,3,FALSE),"Merchant not found")</f>
        <v>ecommerce</v>
      </c>
      <c r="K415" s="4" t="str">
        <f>IFERROR(VLOOKUP(C415,Merchants!$A$2:$D$41,4,FALSE),"Merchant not found")</f>
        <v>East</v>
      </c>
      <c r="L415" s="4">
        <f>IFERROR(HLOOKUP(F415,Fee_Lookup!$B$1:$E$2,2,FALSE),"Fee not found")</f>
        <v>0.01</v>
      </c>
      <c r="M415" s="5">
        <f t="shared" si="1"/>
        <v>46039</v>
      </c>
      <c r="N415" s="4" t="str">
        <f t="shared" si="2"/>
        <v>4|2026-01-17</v>
      </c>
      <c r="O415" s="4">
        <f>IFERROR(VLOOKUP(N415,Merchant_Daily!$A:$B,2,FALSE),0)</f>
        <v>1499</v>
      </c>
      <c r="P415" s="4" t="str">
        <f t="shared" si="3"/>
        <v>Standard Merchant Day</v>
      </c>
    </row>
    <row r="416">
      <c r="A416" s="1" t="s">
        <v>986</v>
      </c>
      <c r="B416" s="1">
        <v>158.0</v>
      </c>
      <c r="C416" s="1">
        <v>2.0</v>
      </c>
      <c r="D416" s="3">
        <v>46037.910416666666</v>
      </c>
      <c r="E416" s="1">
        <v>1499.0</v>
      </c>
      <c r="F416" s="1" t="s">
        <v>46</v>
      </c>
      <c r="G416" s="1" t="s">
        <v>27</v>
      </c>
      <c r="H416" s="1">
        <v>50.0</v>
      </c>
      <c r="I416" s="4" t="str">
        <f>IFERROR(VLOOKUP(C416,Merchants!$A$2:$D$41,2,FALSE),"Merchant not found")</f>
        <v>Merchant_002</v>
      </c>
      <c r="J416" s="4" t="str">
        <f>IFERROR(VLOOKUP(C416,Merchants!$A$2:$D$41,3,FALSE),"Merchant not found")</f>
        <v>grocery</v>
      </c>
      <c r="K416" s="4" t="str">
        <f>IFERROR(VLOOKUP(C416,Merchants!$A$2:$D$41,4,FALSE),"Merchant not found")</f>
        <v>West</v>
      </c>
      <c r="L416" s="4">
        <f>IFERROR(HLOOKUP(F416,Fee_Lookup!$B$1:$E$2,2,FALSE),"Fee not found")</f>
        <v>0.01</v>
      </c>
      <c r="M416" s="5">
        <f t="shared" si="1"/>
        <v>46037</v>
      </c>
      <c r="N416" s="4" t="str">
        <f t="shared" si="2"/>
        <v>2|2026-01-15</v>
      </c>
      <c r="O416" s="4">
        <f>IFERROR(VLOOKUP(N416,Merchant_Daily!$A:$B,2,FALSE),0)</f>
        <v>1499</v>
      </c>
      <c r="P416" s="4" t="str">
        <f t="shared" si="3"/>
        <v>Standard Merchant Day</v>
      </c>
    </row>
    <row r="417">
      <c r="A417" s="1" t="s">
        <v>987</v>
      </c>
      <c r="B417" s="1">
        <v>112.0</v>
      </c>
      <c r="C417" s="1">
        <v>38.0</v>
      </c>
      <c r="D417" s="3">
        <v>46031.032638888886</v>
      </c>
      <c r="E417" s="1">
        <v>49.0</v>
      </c>
      <c r="F417" s="1" t="s">
        <v>35</v>
      </c>
      <c r="G417" s="1" t="s">
        <v>27</v>
      </c>
      <c r="H417" s="1">
        <v>9.0</v>
      </c>
      <c r="I417" s="4" t="str">
        <f>IFERROR(VLOOKUP(C417,Merchants!$A$2:$D$41,2,FALSE),"Merchant not found")</f>
        <v>Merchant_038</v>
      </c>
      <c r="J417" s="4" t="str">
        <f>IFERROR(VLOOKUP(C417,Merchants!$A$2:$D$41,3,FALSE),"Merchant not found")</f>
        <v>grocery</v>
      </c>
      <c r="K417" s="4" t="str">
        <f>IFERROR(VLOOKUP(C417,Merchants!$A$2:$D$41,4,FALSE),"Merchant not found")</f>
        <v>East</v>
      </c>
      <c r="L417" s="4">
        <f>IFERROR(HLOOKUP(F417,Fee_Lookup!$B$1:$E$2,2,FALSE),"Fee not found")</f>
        <v>0</v>
      </c>
      <c r="M417" s="5">
        <f t="shared" si="1"/>
        <v>46031</v>
      </c>
      <c r="N417" s="4" t="str">
        <f t="shared" si="2"/>
        <v>38|2026-01-09</v>
      </c>
      <c r="O417" s="4">
        <f>IFERROR(VLOOKUP(N417,Merchant_Daily!$A:$B,2,FALSE),0)</f>
        <v>348</v>
      </c>
      <c r="P417" s="4" t="str">
        <f t="shared" si="3"/>
        <v>Standard Merchant Day</v>
      </c>
    </row>
    <row r="418">
      <c r="A418" s="1" t="s">
        <v>988</v>
      </c>
      <c r="B418" s="1">
        <v>33.0</v>
      </c>
      <c r="C418" s="1">
        <v>35.0</v>
      </c>
      <c r="D418" s="3">
        <v>46024.55694444444</v>
      </c>
      <c r="E418" s="1">
        <v>299.0</v>
      </c>
      <c r="F418" s="1" t="s">
        <v>46</v>
      </c>
      <c r="G418" s="1" t="s">
        <v>30</v>
      </c>
      <c r="H418" s="1">
        <v>7.0</v>
      </c>
      <c r="I418" s="4" t="str">
        <f>IFERROR(VLOOKUP(C418,Merchants!$A$2:$D$41,2,FALSE),"Merchant not found")</f>
        <v>Merchant_035</v>
      </c>
      <c r="J418" s="4" t="str">
        <f>IFERROR(VLOOKUP(C418,Merchants!$A$2:$D$41,3,FALSE),"Merchant not found")</f>
        <v>recharge</v>
      </c>
      <c r="K418" s="4" t="str">
        <f>IFERROR(VLOOKUP(C418,Merchants!$A$2:$D$41,4,FALSE),"Merchant not found")</f>
        <v>East</v>
      </c>
      <c r="L418" s="4">
        <f>IFERROR(HLOOKUP(F418,Fee_Lookup!$B$1:$E$2,2,FALSE),"Fee not found")</f>
        <v>0.01</v>
      </c>
      <c r="M418" s="5">
        <f t="shared" si="1"/>
        <v>46024</v>
      </c>
      <c r="N418" s="4" t="str">
        <f t="shared" si="2"/>
        <v>35|2026-01-02</v>
      </c>
      <c r="O418" s="4">
        <f>IFERROR(VLOOKUP(N418,Merchant_Daily!$A:$B,2,FALSE),0)</f>
        <v>1847</v>
      </c>
      <c r="P418" s="4" t="str">
        <f t="shared" si="3"/>
        <v>Standard Merchant Day</v>
      </c>
    </row>
    <row r="419">
      <c r="A419" s="1" t="s">
        <v>989</v>
      </c>
      <c r="B419" s="1">
        <v>242.0</v>
      </c>
      <c r="C419" s="1">
        <v>3.0</v>
      </c>
      <c r="D419" s="3">
        <v>46052.12430555555</v>
      </c>
      <c r="E419" s="1">
        <v>49.0</v>
      </c>
      <c r="F419" s="1" t="s">
        <v>35</v>
      </c>
      <c r="G419" s="1" t="s">
        <v>27</v>
      </c>
      <c r="H419" s="1">
        <v>36.0</v>
      </c>
      <c r="I419" s="4" t="str">
        <f>IFERROR(VLOOKUP(C419,Merchants!$A$2:$D$41,2,FALSE),"Merchant not found")</f>
        <v>Merchant_003</v>
      </c>
      <c r="J419" s="4" t="str">
        <f>IFERROR(VLOOKUP(C419,Merchants!$A$2:$D$41,3,FALSE),"Merchant not found")</f>
        <v>grocery</v>
      </c>
      <c r="K419" s="4" t="str">
        <f>IFERROR(VLOOKUP(C419,Merchants!$A$2:$D$41,4,FALSE),"Merchant not found")</f>
        <v>East</v>
      </c>
      <c r="L419" s="4">
        <f>IFERROR(HLOOKUP(F419,Fee_Lookup!$B$1:$E$2,2,FALSE),"Fee not found")</f>
        <v>0</v>
      </c>
      <c r="M419" s="5">
        <f t="shared" si="1"/>
        <v>46052</v>
      </c>
      <c r="N419" s="4" t="str">
        <f t="shared" si="2"/>
        <v>3|2026-01-30</v>
      </c>
      <c r="O419" s="4">
        <f>IFERROR(VLOOKUP(N419,Merchant_Daily!$A:$B,2,FALSE),0)</f>
        <v>49</v>
      </c>
      <c r="P419" s="4" t="str">
        <f t="shared" si="3"/>
        <v>Standard Merchant Day</v>
      </c>
    </row>
    <row r="420">
      <c r="A420" s="1" t="s">
        <v>990</v>
      </c>
      <c r="B420" s="1">
        <v>70.0</v>
      </c>
      <c r="C420" s="1">
        <v>27.0</v>
      </c>
      <c r="D420" s="3">
        <v>46036.24236111111</v>
      </c>
      <c r="E420" s="1">
        <v>149.0</v>
      </c>
      <c r="F420" s="1" t="s">
        <v>35</v>
      </c>
      <c r="G420" s="1" t="s">
        <v>27</v>
      </c>
      <c r="H420" s="1">
        <v>47.0</v>
      </c>
      <c r="I420" s="4" t="str">
        <f>IFERROR(VLOOKUP(C420,Merchants!$A$2:$D$41,2,FALSE),"Merchant not found")</f>
        <v>Merchant_027</v>
      </c>
      <c r="J420" s="4" t="str">
        <f>IFERROR(VLOOKUP(C420,Merchants!$A$2:$D$41,3,FALSE),"Merchant not found")</f>
        <v>ecommerce</v>
      </c>
      <c r="K420" s="4" t="str">
        <f>IFERROR(VLOOKUP(C420,Merchants!$A$2:$D$41,4,FALSE),"Merchant not found")</f>
        <v>North</v>
      </c>
      <c r="L420" s="4">
        <f>IFERROR(HLOOKUP(F420,Fee_Lookup!$B$1:$E$2,2,FALSE),"Fee not found")</f>
        <v>0</v>
      </c>
      <c r="M420" s="5">
        <f t="shared" si="1"/>
        <v>46036</v>
      </c>
      <c r="N420" s="4" t="str">
        <f t="shared" si="2"/>
        <v>27|2026-01-14</v>
      </c>
      <c r="O420" s="4">
        <f>IFERROR(VLOOKUP(N420,Merchant_Daily!$A:$B,2,FALSE),0)</f>
        <v>149</v>
      </c>
      <c r="P420" s="4" t="str">
        <f t="shared" si="3"/>
        <v>Standard Merchant Day</v>
      </c>
    </row>
    <row r="421">
      <c r="A421" s="1" t="s">
        <v>991</v>
      </c>
      <c r="B421" s="1">
        <v>194.0</v>
      </c>
      <c r="C421" s="1">
        <v>25.0</v>
      </c>
      <c r="D421" s="3">
        <v>46051.51944444444</v>
      </c>
      <c r="E421" s="1">
        <v>49.0</v>
      </c>
      <c r="F421" s="1" t="s">
        <v>26</v>
      </c>
      <c r="G421" s="1" t="s">
        <v>27</v>
      </c>
      <c r="H421" s="1">
        <v>10.0</v>
      </c>
      <c r="I421" s="4" t="str">
        <f>IFERROR(VLOOKUP(C421,Merchants!$A$2:$D$41,2,FALSE),"Merchant not found")</f>
        <v>Merchant_025</v>
      </c>
      <c r="J421" s="4" t="str">
        <f>IFERROR(VLOOKUP(C421,Merchants!$A$2:$D$41,3,FALSE),"Merchant not found")</f>
        <v>travel</v>
      </c>
      <c r="K421" s="4" t="str">
        <f>IFERROR(VLOOKUP(C421,Merchants!$A$2:$D$41,4,FALSE),"Merchant not found")</f>
        <v>South</v>
      </c>
      <c r="L421" s="4">
        <f>IFERROR(HLOOKUP(F421,Fee_Lookup!$B$1:$E$2,2,FALSE),"Fee not found")</f>
        <v>0.005</v>
      </c>
      <c r="M421" s="5">
        <f t="shared" si="1"/>
        <v>46051</v>
      </c>
      <c r="N421" s="4" t="str">
        <f t="shared" si="2"/>
        <v>25|2026-01-29</v>
      </c>
      <c r="O421" s="4">
        <f>IFERROR(VLOOKUP(N421,Merchant_Daily!$A:$B,2,FALSE),0)</f>
        <v>3048</v>
      </c>
      <c r="P421" s="4" t="str">
        <f t="shared" si="3"/>
        <v>Standard Merchant Day</v>
      </c>
    </row>
    <row r="422">
      <c r="A422" s="1" t="s">
        <v>992</v>
      </c>
      <c r="B422" s="1">
        <v>277.0</v>
      </c>
      <c r="C422" s="1">
        <v>9.0</v>
      </c>
      <c r="D422" s="3">
        <v>46044.913194444445</v>
      </c>
      <c r="E422" s="1">
        <v>799.0</v>
      </c>
      <c r="F422" s="1" t="s">
        <v>35</v>
      </c>
      <c r="G422" s="1" t="s">
        <v>27</v>
      </c>
      <c r="H422" s="1">
        <v>83.0</v>
      </c>
      <c r="I422" s="4" t="str">
        <f>IFERROR(VLOOKUP(C422,Merchants!$A$2:$D$41,2,FALSE),"Merchant not found")</f>
        <v>Merchant_009</v>
      </c>
      <c r="J422" s="4" t="str">
        <f>IFERROR(VLOOKUP(C422,Merchants!$A$2:$D$41,3,FALSE),"Merchant not found")</f>
        <v>ecommerce</v>
      </c>
      <c r="K422" s="4" t="str">
        <f>IFERROR(VLOOKUP(C422,Merchants!$A$2:$D$41,4,FALSE),"Merchant not found")</f>
        <v>North</v>
      </c>
      <c r="L422" s="4">
        <f>IFERROR(HLOOKUP(F422,Fee_Lookup!$B$1:$E$2,2,FALSE),"Fee not found")</f>
        <v>0</v>
      </c>
      <c r="M422" s="5">
        <f t="shared" si="1"/>
        <v>46044</v>
      </c>
      <c r="N422" s="4" t="str">
        <f t="shared" si="2"/>
        <v>9|2026-01-22</v>
      </c>
      <c r="O422" s="4">
        <f>IFERROR(VLOOKUP(N422,Merchant_Daily!$A:$B,2,FALSE),0)</f>
        <v>1298</v>
      </c>
      <c r="P422" s="4" t="str">
        <f t="shared" si="3"/>
        <v>Standard Merchant Day</v>
      </c>
    </row>
    <row r="423">
      <c r="A423" s="1" t="s">
        <v>993</v>
      </c>
      <c r="B423" s="1">
        <v>92.0</v>
      </c>
      <c r="C423" s="1">
        <v>35.0</v>
      </c>
      <c r="D423" s="3">
        <v>46050.46319444444</v>
      </c>
      <c r="E423" s="1">
        <v>49.0</v>
      </c>
      <c r="F423" s="1" t="s">
        <v>35</v>
      </c>
      <c r="G423" s="1" t="s">
        <v>27</v>
      </c>
      <c r="H423" s="1">
        <v>50.0</v>
      </c>
      <c r="I423" s="4" t="str">
        <f>IFERROR(VLOOKUP(C423,Merchants!$A$2:$D$41,2,FALSE),"Merchant not found")</f>
        <v>Merchant_035</v>
      </c>
      <c r="J423" s="4" t="str">
        <f>IFERROR(VLOOKUP(C423,Merchants!$A$2:$D$41,3,FALSE),"Merchant not found")</f>
        <v>recharge</v>
      </c>
      <c r="K423" s="4" t="str">
        <f>IFERROR(VLOOKUP(C423,Merchants!$A$2:$D$41,4,FALSE),"Merchant not found")</f>
        <v>East</v>
      </c>
      <c r="L423" s="4">
        <f>IFERROR(HLOOKUP(F423,Fee_Lookup!$B$1:$E$2,2,FALSE),"Fee not found")</f>
        <v>0</v>
      </c>
      <c r="M423" s="5">
        <f t="shared" si="1"/>
        <v>46050</v>
      </c>
      <c r="N423" s="4" t="str">
        <f t="shared" si="2"/>
        <v>35|2026-01-28</v>
      </c>
      <c r="O423" s="4">
        <f>IFERROR(VLOOKUP(N423,Merchant_Daily!$A:$B,2,FALSE),0)</f>
        <v>49</v>
      </c>
      <c r="P423" s="4" t="str">
        <f t="shared" si="3"/>
        <v>Standard Merchant Day</v>
      </c>
    </row>
    <row r="424">
      <c r="A424" s="1" t="s">
        <v>994</v>
      </c>
      <c r="B424" s="1">
        <v>115.0</v>
      </c>
      <c r="C424" s="1">
        <v>1.0</v>
      </c>
      <c r="D424" s="3">
        <v>46039.19861111111</v>
      </c>
      <c r="E424" s="1">
        <v>149.0</v>
      </c>
      <c r="F424" s="1" t="s">
        <v>26</v>
      </c>
      <c r="G424" s="1" t="s">
        <v>27</v>
      </c>
      <c r="H424" s="1">
        <v>96.0</v>
      </c>
      <c r="I424" s="4" t="str">
        <f>IFERROR(VLOOKUP(C424,Merchants!$A$2:$D$41,2,FALSE),"Merchant not found")</f>
        <v>Merchant_001</v>
      </c>
      <c r="J424" s="4" t="str">
        <f>IFERROR(VLOOKUP(C424,Merchants!$A$2:$D$41,3,FALSE),"Merchant not found")</f>
        <v>ecommerce</v>
      </c>
      <c r="K424" s="4" t="str">
        <f>IFERROR(VLOOKUP(C424,Merchants!$A$2:$D$41,4,FALSE),"Merchant not found")</f>
        <v>South</v>
      </c>
      <c r="L424" s="4">
        <f>IFERROR(HLOOKUP(F424,Fee_Lookup!$B$1:$E$2,2,FALSE),"Fee not found")</f>
        <v>0.005</v>
      </c>
      <c r="M424" s="5">
        <f t="shared" si="1"/>
        <v>46039</v>
      </c>
      <c r="N424" s="4" t="str">
        <f t="shared" si="2"/>
        <v>1|2026-01-17</v>
      </c>
      <c r="O424" s="4">
        <f>IFERROR(VLOOKUP(N424,Merchant_Daily!$A:$B,2,FALSE),0)</f>
        <v>149</v>
      </c>
      <c r="P424" s="4" t="str">
        <f t="shared" si="3"/>
        <v>Standard Merchant Day</v>
      </c>
    </row>
    <row r="425">
      <c r="A425" s="1" t="s">
        <v>995</v>
      </c>
      <c r="B425" s="1">
        <v>345.0</v>
      </c>
      <c r="C425" s="1">
        <v>35.0</v>
      </c>
      <c r="D425" s="3">
        <v>46023.39513888889</v>
      </c>
      <c r="E425" s="1">
        <v>499.0</v>
      </c>
      <c r="F425" s="1" t="s">
        <v>46</v>
      </c>
      <c r="G425" s="1" t="s">
        <v>27</v>
      </c>
      <c r="H425" s="1">
        <v>54.0</v>
      </c>
      <c r="I425" s="4" t="str">
        <f>IFERROR(VLOOKUP(C425,Merchants!$A$2:$D$41,2,FALSE),"Merchant not found")</f>
        <v>Merchant_035</v>
      </c>
      <c r="J425" s="4" t="str">
        <f>IFERROR(VLOOKUP(C425,Merchants!$A$2:$D$41,3,FALSE),"Merchant not found")</f>
        <v>recharge</v>
      </c>
      <c r="K425" s="4" t="str">
        <f>IFERROR(VLOOKUP(C425,Merchants!$A$2:$D$41,4,FALSE),"Merchant not found")</f>
        <v>East</v>
      </c>
      <c r="L425" s="4">
        <f>IFERROR(HLOOKUP(F425,Fee_Lookup!$B$1:$E$2,2,FALSE),"Fee not found")</f>
        <v>0.01</v>
      </c>
      <c r="M425" s="5">
        <f t="shared" si="1"/>
        <v>46023</v>
      </c>
      <c r="N425" s="4" t="str">
        <f t="shared" si="2"/>
        <v>35|2026-01-01</v>
      </c>
      <c r="O425" s="4">
        <f>IFERROR(VLOOKUP(N425,Merchant_Daily!$A:$B,2,FALSE),0)</f>
        <v>798</v>
      </c>
      <c r="P425" s="4" t="str">
        <f t="shared" si="3"/>
        <v>Standard Merchant Day</v>
      </c>
    </row>
    <row r="426">
      <c r="A426" s="1" t="s">
        <v>996</v>
      </c>
      <c r="B426" s="1">
        <v>118.0</v>
      </c>
      <c r="C426" s="1">
        <v>16.0</v>
      </c>
      <c r="D426" s="3">
        <v>46040.53611111111</v>
      </c>
      <c r="E426" s="1">
        <v>49.0</v>
      </c>
      <c r="F426" s="1" t="s">
        <v>35</v>
      </c>
      <c r="G426" s="1" t="s">
        <v>27</v>
      </c>
      <c r="H426" s="1">
        <v>58.0</v>
      </c>
      <c r="I426" s="4" t="str">
        <f>IFERROR(VLOOKUP(C426,Merchants!$A$2:$D$41,2,FALSE),"Merchant not found")</f>
        <v>Merchant_016</v>
      </c>
      <c r="J426" s="4" t="str">
        <f>IFERROR(VLOOKUP(C426,Merchants!$A$2:$D$41,3,FALSE),"Merchant not found")</f>
        <v>bill_payment</v>
      </c>
      <c r="K426" s="4" t="str">
        <f>IFERROR(VLOOKUP(C426,Merchants!$A$2:$D$41,4,FALSE),"Merchant not found")</f>
        <v>West</v>
      </c>
      <c r="L426" s="4">
        <f>IFERROR(HLOOKUP(F426,Fee_Lookup!$B$1:$E$2,2,FALSE),"Fee not found")</f>
        <v>0</v>
      </c>
      <c r="M426" s="5">
        <f t="shared" si="1"/>
        <v>46040</v>
      </c>
      <c r="N426" s="4" t="str">
        <f t="shared" si="2"/>
        <v>16|2026-01-18</v>
      </c>
      <c r="O426" s="4">
        <f>IFERROR(VLOOKUP(N426,Merchant_Daily!$A:$B,2,FALSE),0)</f>
        <v>49</v>
      </c>
      <c r="P426" s="4" t="str">
        <f t="shared" si="3"/>
        <v>Standard Merchant Day</v>
      </c>
    </row>
    <row r="427">
      <c r="A427" s="1" t="s">
        <v>997</v>
      </c>
      <c r="B427" s="1">
        <v>97.0</v>
      </c>
      <c r="C427" s="1">
        <v>8.0</v>
      </c>
      <c r="D427" s="3">
        <v>46034.17847222222</v>
      </c>
      <c r="E427" s="1">
        <v>99.0</v>
      </c>
      <c r="F427" s="1" t="s">
        <v>47</v>
      </c>
      <c r="G427" s="1" t="s">
        <v>27</v>
      </c>
      <c r="H427" s="1">
        <v>4.0</v>
      </c>
      <c r="I427" s="4" t="str">
        <f>IFERROR(VLOOKUP(C427,Merchants!$A$2:$D$41,2,FALSE),"Merchant not found")</f>
        <v>Merchant_008</v>
      </c>
      <c r="J427" s="4" t="str">
        <f>IFERROR(VLOOKUP(C427,Merchants!$A$2:$D$41,3,FALSE),"Merchant not found")</f>
        <v>food_delivery</v>
      </c>
      <c r="K427" s="4" t="str">
        <f>IFERROR(VLOOKUP(C427,Merchants!$A$2:$D$41,4,FALSE),"Merchant not found")</f>
        <v>North</v>
      </c>
      <c r="L427" s="4">
        <f>IFERROR(HLOOKUP(F427,Fee_Lookup!$B$1:$E$2,2,FALSE),"Fee not found")</f>
        <v>0.015</v>
      </c>
      <c r="M427" s="5">
        <f t="shared" si="1"/>
        <v>46034</v>
      </c>
      <c r="N427" s="4" t="str">
        <f t="shared" si="2"/>
        <v>8|2026-01-12</v>
      </c>
      <c r="O427" s="4">
        <f>IFERROR(VLOOKUP(N427,Merchant_Daily!$A:$B,2,FALSE),0)</f>
        <v>398</v>
      </c>
      <c r="P427" s="4" t="str">
        <f t="shared" si="3"/>
        <v>Standard Merchant Day</v>
      </c>
    </row>
    <row r="428">
      <c r="A428" s="1" t="s">
        <v>998</v>
      </c>
      <c r="B428" s="1">
        <v>315.0</v>
      </c>
      <c r="C428" s="1">
        <v>2.0</v>
      </c>
      <c r="D428" s="3">
        <v>46048.893055555556</v>
      </c>
      <c r="E428" s="1">
        <v>299.0</v>
      </c>
      <c r="F428" s="1" t="s">
        <v>26</v>
      </c>
      <c r="G428" s="1" t="s">
        <v>27</v>
      </c>
      <c r="H428" s="1">
        <v>30.0</v>
      </c>
      <c r="I428" s="4" t="str">
        <f>IFERROR(VLOOKUP(C428,Merchants!$A$2:$D$41,2,FALSE),"Merchant not found")</f>
        <v>Merchant_002</v>
      </c>
      <c r="J428" s="4" t="str">
        <f>IFERROR(VLOOKUP(C428,Merchants!$A$2:$D$41,3,FALSE),"Merchant not found")</f>
        <v>grocery</v>
      </c>
      <c r="K428" s="4" t="str">
        <f>IFERROR(VLOOKUP(C428,Merchants!$A$2:$D$41,4,FALSE),"Merchant not found")</f>
        <v>West</v>
      </c>
      <c r="L428" s="4">
        <f>IFERROR(HLOOKUP(F428,Fee_Lookup!$B$1:$E$2,2,FALSE),"Fee not found")</f>
        <v>0.005</v>
      </c>
      <c r="M428" s="5">
        <f t="shared" si="1"/>
        <v>46048</v>
      </c>
      <c r="N428" s="4" t="str">
        <f t="shared" si="2"/>
        <v>2|2026-01-26</v>
      </c>
      <c r="O428" s="4">
        <f>IFERROR(VLOOKUP(N428,Merchant_Daily!$A:$B,2,FALSE),0)</f>
        <v>299</v>
      </c>
      <c r="P428" s="4" t="str">
        <f t="shared" si="3"/>
        <v>Standard Merchant Day</v>
      </c>
    </row>
    <row r="429">
      <c r="A429" s="1" t="s">
        <v>999</v>
      </c>
      <c r="B429" s="1">
        <v>305.0</v>
      </c>
      <c r="C429" s="1">
        <v>3.0</v>
      </c>
      <c r="D429" s="3">
        <v>46029.0875</v>
      </c>
      <c r="E429" s="1">
        <v>299.0</v>
      </c>
      <c r="F429" s="1" t="s">
        <v>35</v>
      </c>
      <c r="G429" s="1" t="s">
        <v>27</v>
      </c>
      <c r="H429" s="1">
        <v>57.0</v>
      </c>
      <c r="I429" s="4" t="str">
        <f>IFERROR(VLOOKUP(C429,Merchants!$A$2:$D$41,2,FALSE),"Merchant not found")</f>
        <v>Merchant_003</v>
      </c>
      <c r="J429" s="4" t="str">
        <f>IFERROR(VLOOKUP(C429,Merchants!$A$2:$D$41,3,FALSE),"Merchant not found")</f>
        <v>grocery</v>
      </c>
      <c r="K429" s="4" t="str">
        <f>IFERROR(VLOOKUP(C429,Merchants!$A$2:$D$41,4,FALSE),"Merchant not found")</f>
        <v>East</v>
      </c>
      <c r="L429" s="4">
        <f>IFERROR(HLOOKUP(F429,Fee_Lookup!$B$1:$E$2,2,FALSE),"Fee not found")</f>
        <v>0</v>
      </c>
      <c r="M429" s="5">
        <f t="shared" si="1"/>
        <v>46029</v>
      </c>
      <c r="N429" s="4" t="str">
        <f t="shared" si="2"/>
        <v>3|2026-01-07</v>
      </c>
      <c r="O429" s="4">
        <f>IFERROR(VLOOKUP(N429,Merchant_Daily!$A:$B,2,FALSE),0)</f>
        <v>798</v>
      </c>
      <c r="P429" s="4" t="str">
        <f t="shared" si="3"/>
        <v>Standard Merchant Day</v>
      </c>
    </row>
    <row r="430">
      <c r="A430" s="1" t="s">
        <v>1000</v>
      </c>
      <c r="B430" s="1">
        <v>25.0</v>
      </c>
      <c r="C430" s="1">
        <v>16.0</v>
      </c>
      <c r="D430" s="3">
        <v>46042.90625</v>
      </c>
      <c r="E430" s="1">
        <v>299.0</v>
      </c>
      <c r="F430" s="1" t="s">
        <v>35</v>
      </c>
      <c r="G430" s="1" t="s">
        <v>27</v>
      </c>
      <c r="H430" s="1">
        <v>94.0</v>
      </c>
      <c r="I430" s="4" t="str">
        <f>IFERROR(VLOOKUP(C430,Merchants!$A$2:$D$41,2,FALSE),"Merchant not found")</f>
        <v>Merchant_016</v>
      </c>
      <c r="J430" s="4" t="str">
        <f>IFERROR(VLOOKUP(C430,Merchants!$A$2:$D$41,3,FALSE),"Merchant not found")</f>
        <v>bill_payment</v>
      </c>
      <c r="K430" s="4" t="str">
        <f>IFERROR(VLOOKUP(C430,Merchants!$A$2:$D$41,4,FALSE),"Merchant not found")</f>
        <v>West</v>
      </c>
      <c r="L430" s="4">
        <f>IFERROR(HLOOKUP(F430,Fee_Lookup!$B$1:$E$2,2,FALSE),"Fee not found")</f>
        <v>0</v>
      </c>
      <c r="M430" s="5">
        <f t="shared" si="1"/>
        <v>46042</v>
      </c>
      <c r="N430" s="4" t="str">
        <f t="shared" si="2"/>
        <v>16|2026-01-20</v>
      </c>
      <c r="O430" s="4">
        <f>IFERROR(VLOOKUP(N430,Merchant_Daily!$A:$B,2,FALSE),0)</f>
        <v>448</v>
      </c>
      <c r="P430" s="4" t="str">
        <f t="shared" si="3"/>
        <v>Standard Merchant Day</v>
      </c>
    </row>
    <row r="431">
      <c r="A431" s="1" t="s">
        <v>1001</v>
      </c>
      <c r="B431" s="1">
        <v>120.0</v>
      </c>
      <c r="C431" s="1">
        <v>35.0</v>
      </c>
      <c r="D431" s="3">
        <v>46024.51944444444</v>
      </c>
      <c r="E431" s="1">
        <v>49.0</v>
      </c>
      <c r="F431" s="1" t="s">
        <v>35</v>
      </c>
      <c r="G431" s="1" t="s">
        <v>27</v>
      </c>
      <c r="H431" s="1">
        <v>27.0</v>
      </c>
      <c r="I431" s="4" t="str">
        <f>IFERROR(VLOOKUP(C431,Merchants!$A$2:$D$41,2,FALSE),"Merchant not found")</f>
        <v>Merchant_035</v>
      </c>
      <c r="J431" s="4" t="str">
        <f>IFERROR(VLOOKUP(C431,Merchants!$A$2:$D$41,3,FALSE),"Merchant not found")</f>
        <v>recharge</v>
      </c>
      <c r="K431" s="4" t="str">
        <f>IFERROR(VLOOKUP(C431,Merchants!$A$2:$D$41,4,FALSE),"Merchant not found")</f>
        <v>East</v>
      </c>
      <c r="L431" s="4">
        <f>IFERROR(HLOOKUP(F431,Fee_Lookup!$B$1:$E$2,2,FALSE),"Fee not found")</f>
        <v>0</v>
      </c>
      <c r="M431" s="5">
        <f t="shared" si="1"/>
        <v>46024</v>
      </c>
      <c r="N431" s="4" t="str">
        <f t="shared" si="2"/>
        <v>35|2026-01-02</v>
      </c>
      <c r="O431" s="4">
        <f>IFERROR(VLOOKUP(N431,Merchant_Daily!$A:$B,2,FALSE),0)</f>
        <v>1847</v>
      </c>
      <c r="P431" s="4" t="str">
        <f t="shared" si="3"/>
        <v>Standard Merchant Day</v>
      </c>
    </row>
    <row r="432">
      <c r="A432" s="1" t="s">
        <v>1002</v>
      </c>
      <c r="B432" s="1">
        <v>258.0</v>
      </c>
      <c r="C432" s="1">
        <v>19.0</v>
      </c>
      <c r="D432" s="3">
        <v>46047.04722222222</v>
      </c>
      <c r="E432" s="1">
        <v>49.0</v>
      </c>
      <c r="F432" s="1" t="s">
        <v>26</v>
      </c>
      <c r="G432" s="1" t="s">
        <v>27</v>
      </c>
      <c r="H432" s="1">
        <v>29.0</v>
      </c>
      <c r="I432" s="4" t="str">
        <f>IFERROR(VLOOKUP(C432,Merchants!$A$2:$D$41,2,FALSE),"Merchant not found")</f>
        <v>Merchant_019</v>
      </c>
      <c r="J432" s="4" t="str">
        <f>IFERROR(VLOOKUP(C432,Merchants!$A$2:$D$41,3,FALSE),"Merchant not found")</f>
        <v>grocery</v>
      </c>
      <c r="K432" s="4" t="str">
        <f>IFERROR(VLOOKUP(C432,Merchants!$A$2:$D$41,4,FALSE),"Merchant not found")</f>
        <v>North</v>
      </c>
      <c r="L432" s="4">
        <f>IFERROR(HLOOKUP(F432,Fee_Lookup!$B$1:$E$2,2,FALSE),"Fee not found")</f>
        <v>0.005</v>
      </c>
      <c r="M432" s="5">
        <f t="shared" si="1"/>
        <v>46047</v>
      </c>
      <c r="N432" s="4" t="str">
        <f t="shared" si="2"/>
        <v>19|2026-01-25</v>
      </c>
      <c r="O432" s="4">
        <f>IFERROR(VLOOKUP(N432,Merchant_Daily!$A:$B,2,FALSE),0)</f>
        <v>49</v>
      </c>
      <c r="P432" s="4" t="str">
        <f t="shared" si="3"/>
        <v>Standard Merchant Day</v>
      </c>
    </row>
    <row r="433">
      <c r="A433" s="1" t="s">
        <v>1003</v>
      </c>
      <c r="B433" s="1">
        <v>164.0</v>
      </c>
      <c r="C433" s="1">
        <v>37.0</v>
      </c>
      <c r="D433" s="3">
        <v>46049.98333333333</v>
      </c>
      <c r="E433" s="1">
        <v>799.0</v>
      </c>
      <c r="F433" s="1" t="s">
        <v>35</v>
      </c>
      <c r="G433" s="1" t="s">
        <v>27</v>
      </c>
      <c r="H433" s="1">
        <v>76.0</v>
      </c>
      <c r="I433" s="4" t="str">
        <f>IFERROR(VLOOKUP(C433,Merchants!$A$2:$D$41,2,FALSE),"Merchant not found")</f>
        <v>Merchant_037</v>
      </c>
      <c r="J433" s="4" t="str">
        <f>IFERROR(VLOOKUP(C433,Merchants!$A$2:$D$41,3,FALSE),"Merchant not found")</f>
        <v>entertainment</v>
      </c>
      <c r="K433" s="4" t="str">
        <f>IFERROR(VLOOKUP(C433,Merchants!$A$2:$D$41,4,FALSE),"Merchant not found")</f>
        <v>South</v>
      </c>
      <c r="L433" s="4">
        <f>IFERROR(HLOOKUP(F433,Fee_Lookup!$B$1:$E$2,2,FALSE),"Fee not found")</f>
        <v>0</v>
      </c>
      <c r="M433" s="5">
        <f t="shared" si="1"/>
        <v>46049</v>
      </c>
      <c r="N433" s="4" t="str">
        <f t="shared" si="2"/>
        <v>37|2026-01-27</v>
      </c>
      <c r="O433" s="4">
        <f>IFERROR(VLOOKUP(N433,Merchant_Daily!$A:$B,2,FALSE),0)</f>
        <v>799</v>
      </c>
      <c r="P433" s="4" t="str">
        <f t="shared" si="3"/>
        <v>Standard Merchant Day</v>
      </c>
    </row>
    <row r="434">
      <c r="A434" s="1" t="s">
        <v>1004</v>
      </c>
      <c r="B434" s="1">
        <v>165.0</v>
      </c>
      <c r="C434" s="1">
        <v>16.0</v>
      </c>
      <c r="D434" s="3">
        <v>46047.91111111111</v>
      </c>
      <c r="E434" s="1">
        <v>49.0</v>
      </c>
      <c r="F434" s="1" t="s">
        <v>26</v>
      </c>
      <c r="G434" s="1" t="s">
        <v>27</v>
      </c>
      <c r="H434" s="1">
        <v>38.0</v>
      </c>
      <c r="I434" s="4" t="str">
        <f>IFERROR(VLOOKUP(C434,Merchants!$A$2:$D$41,2,FALSE),"Merchant not found")</f>
        <v>Merchant_016</v>
      </c>
      <c r="J434" s="4" t="str">
        <f>IFERROR(VLOOKUP(C434,Merchants!$A$2:$D$41,3,FALSE),"Merchant not found")</f>
        <v>bill_payment</v>
      </c>
      <c r="K434" s="4" t="str">
        <f>IFERROR(VLOOKUP(C434,Merchants!$A$2:$D$41,4,FALSE),"Merchant not found")</f>
        <v>West</v>
      </c>
      <c r="L434" s="4">
        <f>IFERROR(HLOOKUP(F434,Fee_Lookup!$B$1:$E$2,2,FALSE),"Fee not found")</f>
        <v>0.005</v>
      </c>
      <c r="M434" s="5">
        <f t="shared" si="1"/>
        <v>46047</v>
      </c>
      <c r="N434" s="4" t="str">
        <f t="shared" si="2"/>
        <v>16|2026-01-25</v>
      </c>
      <c r="O434" s="4">
        <f>IFERROR(VLOOKUP(N434,Merchant_Daily!$A:$B,2,FALSE),0)</f>
        <v>98</v>
      </c>
      <c r="P434" s="4" t="str">
        <f t="shared" si="3"/>
        <v>Standard Merchant Day</v>
      </c>
    </row>
    <row r="435">
      <c r="A435" s="1" t="s">
        <v>1005</v>
      </c>
      <c r="B435" s="1">
        <v>267.0</v>
      </c>
      <c r="C435" s="1">
        <v>15.0</v>
      </c>
      <c r="D435" s="3">
        <v>46051.19583333333</v>
      </c>
      <c r="E435" s="1">
        <v>49.0</v>
      </c>
      <c r="F435" s="1" t="s">
        <v>47</v>
      </c>
      <c r="G435" s="1" t="s">
        <v>27</v>
      </c>
      <c r="H435" s="1">
        <v>52.0</v>
      </c>
      <c r="I435" s="4" t="str">
        <f>IFERROR(VLOOKUP(C435,Merchants!$A$2:$D$41,2,FALSE),"Merchant not found")</f>
        <v>Merchant_015</v>
      </c>
      <c r="J435" s="4" t="str">
        <f>IFERROR(VLOOKUP(C435,Merchants!$A$2:$D$41,3,FALSE),"Merchant not found")</f>
        <v>travel</v>
      </c>
      <c r="K435" s="4" t="str">
        <f>IFERROR(VLOOKUP(C435,Merchants!$A$2:$D$41,4,FALSE),"Merchant not found")</f>
        <v>North</v>
      </c>
      <c r="L435" s="4">
        <f>IFERROR(HLOOKUP(F435,Fee_Lookup!$B$1:$E$2,2,FALSE),"Fee not found")</f>
        <v>0.015</v>
      </c>
      <c r="M435" s="5">
        <f t="shared" si="1"/>
        <v>46051</v>
      </c>
      <c r="N435" s="4" t="str">
        <f t="shared" si="2"/>
        <v>15|2026-01-29</v>
      </c>
      <c r="O435" s="4">
        <f>IFERROR(VLOOKUP(N435,Merchant_Daily!$A:$B,2,FALSE),0)</f>
        <v>98</v>
      </c>
      <c r="P435" s="4" t="str">
        <f t="shared" si="3"/>
        <v>Standard Merchant Day</v>
      </c>
    </row>
    <row r="436">
      <c r="A436" s="1" t="s">
        <v>1006</v>
      </c>
      <c r="B436" s="1">
        <v>286.0</v>
      </c>
      <c r="C436" s="1">
        <v>38.0</v>
      </c>
      <c r="D436" s="3">
        <v>46032.33541666667</v>
      </c>
      <c r="E436" s="1">
        <v>299.0</v>
      </c>
      <c r="F436" s="1" t="s">
        <v>26</v>
      </c>
      <c r="G436" s="1" t="s">
        <v>27</v>
      </c>
      <c r="H436" s="1">
        <v>94.0</v>
      </c>
      <c r="I436" s="4" t="str">
        <f>IFERROR(VLOOKUP(C436,Merchants!$A$2:$D$41,2,FALSE),"Merchant not found")</f>
        <v>Merchant_038</v>
      </c>
      <c r="J436" s="4" t="str">
        <f>IFERROR(VLOOKUP(C436,Merchants!$A$2:$D$41,3,FALSE),"Merchant not found")</f>
        <v>grocery</v>
      </c>
      <c r="K436" s="4" t="str">
        <f>IFERROR(VLOOKUP(C436,Merchants!$A$2:$D$41,4,FALSE),"Merchant not found")</f>
        <v>East</v>
      </c>
      <c r="L436" s="4">
        <f>IFERROR(HLOOKUP(F436,Fee_Lookup!$B$1:$E$2,2,FALSE),"Fee not found")</f>
        <v>0.005</v>
      </c>
      <c r="M436" s="5">
        <f t="shared" si="1"/>
        <v>46032</v>
      </c>
      <c r="N436" s="4" t="str">
        <f t="shared" si="2"/>
        <v>38|2026-01-10</v>
      </c>
      <c r="O436" s="4">
        <f>IFERROR(VLOOKUP(N436,Merchant_Daily!$A:$B,2,FALSE),0)</f>
        <v>398</v>
      </c>
      <c r="P436" s="4" t="str">
        <f t="shared" si="3"/>
        <v>Standard Merchant Day</v>
      </c>
    </row>
    <row r="437">
      <c r="A437" s="1" t="s">
        <v>1007</v>
      </c>
      <c r="B437" s="1">
        <v>348.0</v>
      </c>
      <c r="C437" s="1">
        <v>28.0</v>
      </c>
      <c r="D437" s="3">
        <v>46052.23611111111</v>
      </c>
      <c r="E437" s="1">
        <v>499.0</v>
      </c>
      <c r="F437" s="1" t="s">
        <v>46</v>
      </c>
      <c r="G437" s="1" t="s">
        <v>27</v>
      </c>
      <c r="H437" s="1">
        <v>71.0</v>
      </c>
      <c r="I437" s="4" t="str">
        <f>IFERROR(VLOOKUP(C437,Merchants!$A$2:$D$41,2,FALSE),"Merchant not found")</f>
        <v>Merchant_028</v>
      </c>
      <c r="J437" s="4" t="str">
        <f>IFERROR(VLOOKUP(C437,Merchants!$A$2:$D$41,3,FALSE),"Merchant not found")</f>
        <v>ecommerce</v>
      </c>
      <c r="K437" s="4" t="str">
        <f>IFERROR(VLOOKUP(C437,Merchants!$A$2:$D$41,4,FALSE),"Merchant not found")</f>
        <v>South</v>
      </c>
      <c r="L437" s="4">
        <f>IFERROR(HLOOKUP(F437,Fee_Lookup!$B$1:$E$2,2,FALSE),"Fee not found")</f>
        <v>0.01</v>
      </c>
      <c r="M437" s="5">
        <f t="shared" si="1"/>
        <v>46052</v>
      </c>
      <c r="N437" s="4" t="str">
        <f t="shared" si="2"/>
        <v>28|2026-01-30</v>
      </c>
      <c r="O437" s="4">
        <f>IFERROR(VLOOKUP(N437,Merchant_Daily!$A:$B,2,FALSE),0)</f>
        <v>499</v>
      </c>
      <c r="P437" s="4" t="str">
        <f t="shared" si="3"/>
        <v>Standard Merchant Day</v>
      </c>
    </row>
    <row r="438">
      <c r="A438" s="1" t="s">
        <v>1008</v>
      </c>
      <c r="B438" s="1">
        <v>330.0</v>
      </c>
      <c r="C438" s="1">
        <v>25.0</v>
      </c>
      <c r="D438" s="3">
        <v>46038.05694444444</v>
      </c>
      <c r="E438" s="1">
        <v>799.0</v>
      </c>
      <c r="F438" s="1" t="s">
        <v>35</v>
      </c>
      <c r="G438" s="1" t="s">
        <v>27</v>
      </c>
      <c r="H438" s="1">
        <v>100.0</v>
      </c>
      <c r="I438" s="4" t="str">
        <f>IFERROR(VLOOKUP(C438,Merchants!$A$2:$D$41,2,FALSE),"Merchant not found")</f>
        <v>Merchant_025</v>
      </c>
      <c r="J438" s="4" t="str">
        <f>IFERROR(VLOOKUP(C438,Merchants!$A$2:$D$41,3,FALSE),"Merchant not found")</f>
        <v>travel</v>
      </c>
      <c r="K438" s="4" t="str">
        <f>IFERROR(VLOOKUP(C438,Merchants!$A$2:$D$41,4,FALSE),"Merchant not found")</f>
        <v>South</v>
      </c>
      <c r="L438" s="4">
        <f>IFERROR(HLOOKUP(F438,Fee_Lookup!$B$1:$E$2,2,FALSE),"Fee not found")</f>
        <v>0</v>
      </c>
      <c r="M438" s="5">
        <f t="shared" si="1"/>
        <v>46038</v>
      </c>
      <c r="N438" s="4" t="str">
        <f t="shared" si="2"/>
        <v>25|2026-01-16</v>
      </c>
      <c r="O438" s="4">
        <f>IFERROR(VLOOKUP(N438,Merchant_Daily!$A:$B,2,FALSE),0)</f>
        <v>799</v>
      </c>
      <c r="P438" s="4" t="str">
        <f t="shared" si="3"/>
        <v>Standard Merchant Day</v>
      </c>
    </row>
    <row r="439">
      <c r="A439" s="1" t="s">
        <v>1009</v>
      </c>
      <c r="B439" s="1">
        <v>214.0</v>
      </c>
      <c r="C439" s="1">
        <v>27.0</v>
      </c>
      <c r="D439" s="3">
        <v>46039.447222222225</v>
      </c>
      <c r="E439" s="1">
        <v>299.0</v>
      </c>
      <c r="F439" s="1" t="s">
        <v>46</v>
      </c>
      <c r="G439" s="1" t="s">
        <v>27</v>
      </c>
      <c r="H439" s="1">
        <v>19.0</v>
      </c>
      <c r="I439" s="4" t="str">
        <f>IFERROR(VLOOKUP(C439,Merchants!$A$2:$D$41,2,FALSE),"Merchant not found")</f>
        <v>Merchant_027</v>
      </c>
      <c r="J439" s="4" t="str">
        <f>IFERROR(VLOOKUP(C439,Merchants!$A$2:$D$41,3,FALSE),"Merchant not found")</f>
        <v>ecommerce</v>
      </c>
      <c r="K439" s="4" t="str">
        <f>IFERROR(VLOOKUP(C439,Merchants!$A$2:$D$41,4,FALSE),"Merchant not found")</f>
        <v>North</v>
      </c>
      <c r="L439" s="4">
        <f>IFERROR(HLOOKUP(F439,Fee_Lookup!$B$1:$E$2,2,FALSE),"Fee not found")</f>
        <v>0.01</v>
      </c>
      <c r="M439" s="5">
        <f t="shared" si="1"/>
        <v>46039</v>
      </c>
      <c r="N439" s="4" t="str">
        <f t="shared" si="2"/>
        <v>27|2026-01-17</v>
      </c>
      <c r="O439" s="4">
        <f>IFERROR(VLOOKUP(N439,Merchant_Daily!$A:$B,2,FALSE),0)</f>
        <v>1597</v>
      </c>
      <c r="P439" s="4" t="str">
        <f t="shared" si="3"/>
        <v>Standard Merchant Day</v>
      </c>
    </row>
    <row r="440">
      <c r="A440" s="1" t="s">
        <v>1010</v>
      </c>
      <c r="B440" s="1">
        <v>276.0</v>
      </c>
      <c r="C440" s="1">
        <v>31.0</v>
      </c>
      <c r="D440" s="3">
        <v>46032.50763888889</v>
      </c>
      <c r="E440" s="1">
        <v>499.0</v>
      </c>
      <c r="F440" s="1" t="s">
        <v>35</v>
      </c>
      <c r="G440" s="1" t="s">
        <v>27</v>
      </c>
      <c r="H440" s="1">
        <v>30.0</v>
      </c>
      <c r="I440" s="4" t="str">
        <f>IFERROR(VLOOKUP(C440,Merchants!$A$2:$D$41,2,FALSE),"Merchant not found")</f>
        <v>Merchant_031</v>
      </c>
      <c r="J440" s="4" t="str">
        <f>IFERROR(VLOOKUP(C440,Merchants!$A$2:$D$41,3,FALSE),"Merchant not found")</f>
        <v>bill_payment</v>
      </c>
      <c r="K440" s="4" t="str">
        <f>IFERROR(VLOOKUP(C440,Merchants!$A$2:$D$41,4,FALSE),"Merchant not found")</f>
        <v>East</v>
      </c>
      <c r="L440" s="4">
        <f>IFERROR(HLOOKUP(F440,Fee_Lookup!$B$1:$E$2,2,FALSE),"Fee not found")</f>
        <v>0</v>
      </c>
      <c r="M440" s="5">
        <f t="shared" si="1"/>
        <v>46032</v>
      </c>
      <c r="N440" s="4" t="str">
        <f t="shared" si="2"/>
        <v>31|2026-01-10</v>
      </c>
      <c r="O440" s="4">
        <f>IFERROR(VLOOKUP(N440,Merchant_Daily!$A:$B,2,FALSE),0)</f>
        <v>499</v>
      </c>
      <c r="P440" s="4" t="str">
        <f t="shared" si="3"/>
        <v>Standard Merchant Day</v>
      </c>
    </row>
    <row r="441">
      <c r="A441" s="1" t="s">
        <v>1011</v>
      </c>
      <c r="B441" s="1">
        <v>74.0</v>
      </c>
      <c r="C441" s="1">
        <v>30.0</v>
      </c>
      <c r="D441" s="3">
        <v>46050.30486111111</v>
      </c>
      <c r="E441" s="1">
        <v>49.0</v>
      </c>
      <c r="F441" s="1" t="s">
        <v>35</v>
      </c>
      <c r="G441" s="1" t="s">
        <v>27</v>
      </c>
      <c r="H441" s="1">
        <v>7.0</v>
      </c>
      <c r="I441" s="4" t="str">
        <f>IFERROR(VLOOKUP(C441,Merchants!$A$2:$D$41,2,FALSE),"Merchant not found")</f>
        <v>Merchant_030</v>
      </c>
      <c r="J441" s="4" t="str">
        <f>IFERROR(VLOOKUP(C441,Merchants!$A$2:$D$41,3,FALSE),"Merchant not found")</f>
        <v>travel</v>
      </c>
      <c r="K441" s="4" t="str">
        <f>IFERROR(VLOOKUP(C441,Merchants!$A$2:$D$41,4,FALSE),"Merchant not found")</f>
        <v>West</v>
      </c>
      <c r="L441" s="4">
        <f>IFERROR(HLOOKUP(F441,Fee_Lookup!$B$1:$E$2,2,FALSE),"Fee not found")</f>
        <v>0</v>
      </c>
      <c r="M441" s="5">
        <f t="shared" si="1"/>
        <v>46050</v>
      </c>
      <c r="N441" s="4" t="str">
        <f t="shared" si="2"/>
        <v>30|2026-01-28</v>
      </c>
      <c r="O441" s="4">
        <f>IFERROR(VLOOKUP(N441,Merchant_Daily!$A:$B,2,FALSE),0)</f>
        <v>49</v>
      </c>
      <c r="P441" s="4" t="str">
        <f t="shared" si="3"/>
        <v>Standard Merchant Day</v>
      </c>
    </row>
    <row r="442">
      <c r="A442" s="1" t="s">
        <v>1012</v>
      </c>
      <c r="B442" s="1">
        <v>286.0</v>
      </c>
      <c r="C442" s="1">
        <v>34.0</v>
      </c>
      <c r="D442" s="3">
        <v>46040.55972222222</v>
      </c>
      <c r="E442" s="1">
        <v>49.0</v>
      </c>
      <c r="F442" s="1" t="s">
        <v>46</v>
      </c>
      <c r="G442" s="1" t="s">
        <v>27</v>
      </c>
      <c r="H442" s="1">
        <v>17.0</v>
      </c>
      <c r="I442" s="4" t="str">
        <f>IFERROR(VLOOKUP(C442,Merchants!$A$2:$D$41,2,FALSE),"Merchant not found")</f>
        <v>Merchant_034</v>
      </c>
      <c r="J442" s="4" t="str">
        <f>IFERROR(VLOOKUP(C442,Merchants!$A$2:$D$41,3,FALSE),"Merchant not found")</f>
        <v>travel</v>
      </c>
      <c r="K442" s="4" t="str">
        <f>IFERROR(VLOOKUP(C442,Merchants!$A$2:$D$41,4,FALSE),"Merchant not found")</f>
        <v>South</v>
      </c>
      <c r="L442" s="4">
        <f>IFERROR(HLOOKUP(F442,Fee_Lookup!$B$1:$E$2,2,FALSE),"Fee not found")</f>
        <v>0.01</v>
      </c>
      <c r="M442" s="5">
        <f t="shared" si="1"/>
        <v>46040</v>
      </c>
      <c r="N442" s="4" t="str">
        <f t="shared" si="2"/>
        <v>34|2026-01-18</v>
      </c>
      <c r="O442" s="4">
        <f>IFERROR(VLOOKUP(N442,Merchant_Daily!$A:$B,2,FALSE),0)</f>
        <v>148</v>
      </c>
      <c r="P442" s="4" t="str">
        <f t="shared" si="3"/>
        <v>Standard Merchant Day</v>
      </c>
    </row>
    <row r="443">
      <c r="A443" s="1" t="s">
        <v>1013</v>
      </c>
      <c r="B443" s="1">
        <v>105.0</v>
      </c>
      <c r="C443" s="1">
        <v>22.0</v>
      </c>
      <c r="D443" s="3">
        <v>46035.302777777775</v>
      </c>
      <c r="E443" s="1">
        <v>4999.0</v>
      </c>
      <c r="F443" s="1" t="s">
        <v>35</v>
      </c>
      <c r="G443" s="1" t="s">
        <v>27</v>
      </c>
      <c r="H443" s="1">
        <v>82.0</v>
      </c>
      <c r="I443" s="4" t="str">
        <f>IFERROR(VLOOKUP(C443,Merchants!$A$2:$D$41,2,FALSE),"Merchant not found")</f>
        <v>Merchant_022</v>
      </c>
      <c r="J443" s="4" t="str">
        <f>IFERROR(VLOOKUP(C443,Merchants!$A$2:$D$41,3,FALSE),"Merchant not found")</f>
        <v>travel</v>
      </c>
      <c r="K443" s="4" t="str">
        <f>IFERROR(VLOOKUP(C443,Merchants!$A$2:$D$41,4,FALSE),"Merchant not found")</f>
        <v>South</v>
      </c>
      <c r="L443" s="4">
        <f>IFERROR(HLOOKUP(F443,Fee_Lookup!$B$1:$E$2,2,FALSE),"Fee not found")</f>
        <v>0</v>
      </c>
      <c r="M443" s="5">
        <f t="shared" si="1"/>
        <v>46035</v>
      </c>
      <c r="N443" s="4" t="str">
        <f t="shared" si="2"/>
        <v>22|2026-01-13</v>
      </c>
      <c r="O443" s="4">
        <f>IFERROR(VLOOKUP(N443,Merchant_Daily!$A:$B,2,FALSE),0)</f>
        <v>5798</v>
      </c>
      <c r="P443" s="4" t="str">
        <f t="shared" si="3"/>
        <v>High-Value Merchant Day</v>
      </c>
    </row>
    <row r="444">
      <c r="A444" s="1" t="s">
        <v>1014</v>
      </c>
      <c r="B444" s="1">
        <v>190.0</v>
      </c>
      <c r="C444" s="1">
        <v>6.0</v>
      </c>
      <c r="D444" s="3">
        <v>46025.620833333334</v>
      </c>
      <c r="E444" s="1">
        <v>799.0</v>
      </c>
      <c r="F444" s="1" t="s">
        <v>26</v>
      </c>
      <c r="G444" s="1" t="s">
        <v>27</v>
      </c>
      <c r="H444" s="1">
        <v>68.0</v>
      </c>
      <c r="I444" s="4" t="str">
        <f>IFERROR(VLOOKUP(C444,Merchants!$A$2:$D$41,2,FALSE),"Merchant not found")</f>
        <v>Merchant_006</v>
      </c>
      <c r="J444" s="4" t="str">
        <f>IFERROR(VLOOKUP(C444,Merchants!$A$2:$D$41,3,FALSE),"Merchant not found")</f>
        <v>food_delivery</v>
      </c>
      <c r="K444" s="4" t="str">
        <f>IFERROR(VLOOKUP(C444,Merchants!$A$2:$D$41,4,FALSE),"Merchant not found")</f>
        <v>South</v>
      </c>
      <c r="L444" s="4">
        <f>IFERROR(HLOOKUP(F444,Fee_Lookup!$B$1:$E$2,2,FALSE),"Fee not found")</f>
        <v>0.005</v>
      </c>
      <c r="M444" s="5">
        <f t="shared" si="1"/>
        <v>46025</v>
      </c>
      <c r="N444" s="4" t="str">
        <f t="shared" si="2"/>
        <v>6|2026-01-03</v>
      </c>
      <c r="O444" s="4">
        <f>IFERROR(VLOOKUP(N444,Merchant_Daily!$A:$B,2,FALSE),0)</f>
        <v>799</v>
      </c>
      <c r="P444" s="4" t="str">
        <f t="shared" si="3"/>
        <v>Standard Merchant Day</v>
      </c>
    </row>
    <row r="445">
      <c r="A445" s="1" t="s">
        <v>1015</v>
      </c>
      <c r="B445" s="1">
        <v>138.0</v>
      </c>
      <c r="C445" s="1">
        <v>25.0</v>
      </c>
      <c r="D445" s="3">
        <v>46046.25208333333</v>
      </c>
      <c r="E445" s="1">
        <v>299.0</v>
      </c>
      <c r="F445" s="1" t="s">
        <v>26</v>
      </c>
      <c r="G445" s="1" t="s">
        <v>27</v>
      </c>
      <c r="H445" s="1">
        <v>86.0</v>
      </c>
      <c r="I445" s="4" t="str">
        <f>IFERROR(VLOOKUP(C445,Merchants!$A$2:$D$41,2,FALSE),"Merchant not found")</f>
        <v>Merchant_025</v>
      </c>
      <c r="J445" s="4" t="str">
        <f>IFERROR(VLOOKUP(C445,Merchants!$A$2:$D$41,3,FALSE),"Merchant not found")</f>
        <v>travel</v>
      </c>
      <c r="K445" s="4" t="str">
        <f>IFERROR(VLOOKUP(C445,Merchants!$A$2:$D$41,4,FALSE),"Merchant not found")</f>
        <v>South</v>
      </c>
      <c r="L445" s="4">
        <f>IFERROR(HLOOKUP(F445,Fee_Lookup!$B$1:$E$2,2,FALSE),"Fee not found")</f>
        <v>0.005</v>
      </c>
      <c r="M445" s="5">
        <f t="shared" si="1"/>
        <v>46046</v>
      </c>
      <c r="N445" s="4" t="str">
        <f t="shared" si="2"/>
        <v>25|2026-01-24</v>
      </c>
      <c r="O445" s="4">
        <f>IFERROR(VLOOKUP(N445,Merchant_Daily!$A:$B,2,FALSE),0)</f>
        <v>497</v>
      </c>
      <c r="P445" s="4" t="str">
        <f t="shared" si="3"/>
        <v>Standard Merchant Day</v>
      </c>
    </row>
    <row r="446">
      <c r="A446" s="1" t="s">
        <v>1016</v>
      </c>
      <c r="B446" s="1">
        <v>38.0</v>
      </c>
      <c r="C446" s="1">
        <v>13.0</v>
      </c>
      <c r="D446" s="3">
        <v>46042.79305555556</v>
      </c>
      <c r="E446" s="1">
        <v>4999.0</v>
      </c>
      <c r="F446" s="1" t="s">
        <v>47</v>
      </c>
      <c r="G446" s="1" t="s">
        <v>27</v>
      </c>
      <c r="H446" s="1">
        <v>97.0</v>
      </c>
      <c r="I446" s="4" t="str">
        <f>IFERROR(VLOOKUP(C446,Merchants!$A$2:$D$41,2,FALSE),"Merchant not found")</f>
        <v>Merchant_013</v>
      </c>
      <c r="J446" s="4" t="str">
        <f>IFERROR(VLOOKUP(C446,Merchants!$A$2:$D$41,3,FALSE),"Merchant not found")</f>
        <v>travel</v>
      </c>
      <c r="K446" s="4" t="str">
        <f>IFERROR(VLOOKUP(C446,Merchants!$A$2:$D$41,4,FALSE),"Merchant not found")</f>
        <v>East</v>
      </c>
      <c r="L446" s="4">
        <f>IFERROR(HLOOKUP(F446,Fee_Lookup!$B$1:$E$2,2,FALSE),"Fee not found")</f>
        <v>0.015</v>
      </c>
      <c r="M446" s="5">
        <f t="shared" si="1"/>
        <v>46042</v>
      </c>
      <c r="N446" s="4" t="str">
        <f t="shared" si="2"/>
        <v>13|2026-01-20</v>
      </c>
      <c r="O446" s="4">
        <f>IFERROR(VLOOKUP(N446,Merchant_Daily!$A:$B,2,FALSE),0)</f>
        <v>4999</v>
      </c>
      <c r="P446" s="4" t="str">
        <f t="shared" si="3"/>
        <v>Standard Merchant Day</v>
      </c>
    </row>
    <row r="447">
      <c r="A447" s="1" t="s">
        <v>1017</v>
      </c>
      <c r="B447" s="1">
        <v>287.0</v>
      </c>
      <c r="C447" s="1">
        <v>14.0</v>
      </c>
      <c r="D447" s="3">
        <v>46041.9875</v>
      </c>
      <c r="E447" s="1">
        <v>99.0</v>
      </c>
      <c r="F447" s="1" t="s">
        <v>26</v>
      </c>
      <c r="G447" s="1" t="s">
        <v>27</v>
      </c>
      <c r="H447" s="1">
        <v>61.0</v>
      </c>
      <c r="I447" s="4" t="str">
        <f>IFERROR(VLOOKUP(C447,Merchants!$A$2:$D$41,2,FALSE),"Merchant not found")</f>
        <v>Merchant_014</v>
      </c>
      <c r="J447" s="4" t="str">
        <f>IFERROR(VLOOKUP(C447,Merchants!$A$2:$D$41,3,FALSE),"Merchant not found")</f>
        <v>grocery</v>
      </c>
      <c r="K447" s="4" t="str">
        <f>IFERROR(VLOOKUP(C447,Merchants!$A$2:$D$41,4,FALSE),"Merchant not found")</f>
        <v>East</v>
      </c>
      <c r="L447" s="4">
        <f>IFERROR(HLOOKUP(F447,Fee_Lookup!$B$1:$E$2,2,FALSE),"Fee not found")</f>
        <v>0.005</v>
      </c>
      <c r="M447" s="5">
        <f t="shared" si="1"/>
        <v>46041</v>
      </c>
      <c r="N447" s="4" t="str">
        <f t="shared" si="2"/>
        <v>14|2026-01-19</v>
      </c>
      <c r="O447" s="4">
        <f>IFERROR(VLOOKUP(N447,Merchant_Daily!$A:$B,2,FALSE),0)</f>
        <v>99</v>
      </c>
      <c r="P447" s="4" t="str">
        <f t="shared" si="3"/>
        <v>Standard Merchant Day</v>
      </c>
    </row>
    <row r="448">
      <c r="A448" s="1" t="s">
        <v>1018</v>
      </c>
      <c r="B448" s="1">
        <v>8.0</v>
      </c>
      <c r="C448" s="1">
        <v>14.0</v>
      </c>
      <c r="D448" s="3">
        <v>46029.42986111111</v>
      </c>
      <c r="E448" s="1">
        <v>49.0</v>
      </c>
      <c r="F448" s="1" t="s">
        <v>35</v>
      </c>
      <c r="G448" s="1" t="s">
        <v>27</v>
      </c>
      <c r="H448" s="1">
        <v>24.0</v>
      </c>
      <c r="I448" s="4" t="str">
        <f>IFERROR(VLOOKUP(C448,Merchants!$A$2:$D$41,2,FALSE),"Merchant not found")</f>
        <v>Merchant_014</v>
      </c>
      <c r="J448" s="4" t="str">
        <f>IFERROR(VLOOKUP(C448,Merchants!$A$2:$D$41,3,FALSE),"Merchant not found")</f>
        <v>grocery</v>
      </c>
      <c r="K448" s="4" t="str">
        <f>IFERROR(VLOOKUP(C448,Merchants!$A$2:$D$41,4,FALSE),"Merchant not found")</f>
        <v>East</v>
      </c>
      <c r="L448" s="4">
        <f>IFERROR(HLOOKUP(F448,Fee_Lookup!$B$1:$E$2,2,FALSE),"Fee not found")</f>
        <v>0</v>
      </c>
      <c r="M448" s="5">
        <f t="shared" si="1"/>
        <v>46029</v>
      </c>
      <c r="N448" s="4" t="str">
        <f t="shared" si="2"/>
        <v>14|2026-01-07</v>
      </c>
      <c r="O448" s="4">
        <f>IFERROR(VLOOKUP(N448,Merchant_Daily!$A:$B,2,FALSE),0)</f>
        <v>49</v>
      </c>
      <c r="P448" s="4" t="str">
        <f t="shared" si="3"/>
        <v>Standard Merchant Day</v>
      </c>
    </row>
    <row r="449">
      <c r="A449" s="1" t="s">
        <v>1019</v>
      </c>
      <c r="B449" s="1">
        <v>246.0</v>
      </c>
      <c r="C449" s="1">
        <v>16.0</v>
      </c>
      <c r="D449" s="3">
        <v>46046.157638888886</v>
      </c>
      <c r="E449" s="1">
        <v>1499.0</v>
      </c>
      <c r="F449" s="1" t="s">
        <v>26</v>
      </c>
      <c r="G449" s="1" t="s">
        <v>27</v>
      </c>
      <c r="H449" s="1">
        <v>89.0</v>
      </c>
      <c r="I449" s="4" t="str">
        <f>IFERROR(VLOOKUP(C449,Merchants!$A$2:$D$41,2,FALSE),"Merchant not found")</f>
        <v>Merchant_016</v>
      </c>
      <c r="J449" s="4" t="str">
        <f>IFERROR(VLOOKUP(C449,Merchants!$A$2:$D$41,3,FALSE),"Merchant not found")</f>
        <v>bill_payment</v>
      </c>
      <c r="K449" s="4" t="str">
        <f>IFERROR(VLOOKUP(C449,Merchants!$A$2:$D$41,4,FALSE),"Merchant not found")</f>
        <v>West</v>
      </c>
      <c r="L449" s="4">
        <f>IFERROR(HLOOKUP(F449,Fee_Lookup!$B$1:$E$2,2,FALSE),"Fee not found")</f>
        <v>0.005</v>
      </c>
      <c r="M449" s="5">
        <f t="shared" si="1"/>
        <v>46046</v>
      </c>
      <c r="N449" s="4" t="str">
        <f t="shared" si="2"/>
        <v>16|2026-01-24</v>
      </c>
      <c r="O449" s="4">
        <f>IFERROR(VLOOKUP(N449,Merchant_Daily!$A:$B,2,FALSE),0)</f>
        <v>1548</v>
      </c>
      <c r="P449" s="4" t="str">
        <f t="shared" si="3"/>
        <v>Standard Merchant Day</v>
      </c>
    </row>
    <row r="450">
      <c r="A450" s="1" t="s">
        <v>1020</v>
      </c>
      <c r="B450" s="1">
        <v>204.0</v>
      </c>
      <c r="C450" s="1">
        <v>16.0</v>
      </c>
      <c r="D450" s="3">
        <v>46042.92569444444</v>
      </c>
      <c r="E450" s="1">
        <v>149.0</v>
      </c>
      <c r="F450" s="1" t="s">
        <v>35</v>
      </c>
      <c r="G450" s="1" t="s">
        <v>27</v>
      </c>
      <c r="H450" s="1">
        <v>70.0</v>
      </c>
      <c r="I450" s="4" t="str">
        <f>IFERROR(VLOOKUP(C450,Merchants!$A$2:$D$41,2,FALSE),"Merchant not found")</f>
        <v>Merchant_016</v>
      </c>
      <c r="J450" s="4" t="str">
        <f>IFERROR(VLOOKUP(C450,Merchants!$A$2:$D$41,3,FALSE),"Merchant not found")</f>
        <v>bill_payment</v>
      </c>
      <c r="K450" s="4" t="str">
        <f>IFERROR(VLOOKUP(C450,Merchants!$A$2:$D$41,4,FALSE),"Merchant not found")</f>
        <v>West</v>
      </c>
      <c r="L450" s="4">
        <f>IFERROR(HLOOKUP(F450,Fee_Lookup!$B$1:$E$2,2,FALSE),"Fee not found")</f>
        <v>0</v>
      </c>
      <c r="M450" s="5">
        <f t="shared" si="1"/>
        <v>46042</v>
      </c>
      <c r="N450" s="4" t="str">
        <f t="shared" si="2"/>
        <v>16|2026-01-20</v>
      </c>
      <c r="O450" s="4">
        <f>IFERROR(VLOOKUP(N450,Merchant_Daily!$A:$B,2,FALSE),0)</f>
        <v>448</v>
      </c>
      <c r="P450" s="4" t="str">
        <f t="shared" si="3"/>
        <v>Standard Merchant Day</v>
      </c>
    </row>
    <row r="451">
      <c r="A451" s="1" t="s">
        <v>1021</v>
      </c>
      <c r="B451" s="1">
        <v>239.0</v>
      </c>
      <c r="C451" s="1">
        <v>35.0</v>
      </c>
      <c r="D451" s="3">
        <v>46033.39166666667</v>
      </c>
      <c r="E451" s="1">
        <v>4999.0</v>
      </c>
      <c r="F451" s="1" t="s">
        <v>35</v>
      </c>
      <c r="G451" s="1" t="s">
        <v>27</v>
      </c>
      <c r="H451" s="1">
        <v>83.0</v>
      </c>
      <c r="I451" s="4" t="str">
        <f>IFERROR(VLOOKUP(C451,Merchants!$A$2:$D$41,2,FALSE),"Merchant not found")</f>
        <v>Merchant_035</v>
      </c>
      <c r="J451" s="4" t="str">
        <f>IFERROR(VLOOKUP(C451,Merchants!$A$2:$D$41,3,FALSE),"Merchant not found")</f>
        <v>recharge</v>
      </c>
      <c r="K451" s="4" t="str">
        <f>IFERROR(VLOOKUP(C451,Merchants!$A$2:$D$41,4,FALSE),"Merchant not found")</f>
        <v>East</v>
      </c>
      <c r="L451" s="4">
        <f>IFERROR(HLOOKUP(F451,Fee_Lookup!$B$1:$E$2,2,FALSE),"Fee not found")</f>
        <v>0</v>
      </c>
      <c r="M451" s="5">
        <f t="shared" si="1"/>
        <v>46033</v>
      </c>
      <c r="N451" s="4" t="str">
        <f t="shared" si="2"/>
        <v>35|2026-01-11</v>
      </c>
      <c r="O451" s="4">
        <f>IFERROR(VLOOKUP(N451,Merchant_Daily!$A:$B,2,FALSE),0)</f>
        <v>4999</v>
      </c>
      <c r="P451" s="4" t="str">
        <f t="shared" si="3"/>
        <v>Standard Merchant Day</v>
      </c>
    </row>
    <row r="452">
      <c r="A452" s="1" t="s">
        <v>1022</v>
      </c>
      <c r="B452" s="1">
        <v>185.0</v>
      </c>
      <c r="C452" s="1">
        <v>33.0</v>
      </c>
      <c r="D452" s="3">
        <v>46034.38611111111</v>
      </c>
      <c r="E452" s="1">
        <v>299.0</v>
      </c>
      <c r="F452" s="1" t="s">
        <v>35</v>
      </c>
      <c r="G452" s="1" t="s">
        <v>27</v>
      </c>
      <c r="H452" s="1">
        <v>63.0</v>
      </c>
      <c r="I452" s="4" t="str">
        <f>IFERROR(VLOOKUP(C452,Merchants!$A$2:$D$41,2,FALSE),"Merchant not found")</f>
        <v>Merchant_033</v>
      </c>
      <c r="J452" s="4" t="str">
        <f>IFERROR(VLOOKUP(C452,Merchants!$A$2:$D$41,3,FALSE),"Merchant not found")</f>
        <v>bill_payment</v>
      </c>
      <c r="K452" s="4" t="str">
        <f>IFERROR(VLOOKUP(C452,Merchants!$A$2:$D$41,4,FALSE),"Merchant not found")</f>
        <v>East</v>
      </c>
      <c r="L452" s="4">
        <f>IFERROR(HLOOKUP(F452,Fee_Lookup!$B$1:$E$2,2,FALSE),"Fee not found")</f>
        <v>0</v>
      </c>
      <c r="M452" s="5">
        <f t="shared" si="1"/>
        <v>46034</v>
      </c>
      <c r="N452" s="4" t="str">
        <f t="shared" si="2"/>
        <v>33|2026-01-12</v>
      </c>
      <c r="O452" s="4">
        <f>IFERROR(VLOOKUP(N452,Merchant_Daily!$A:$B,2,FALSE),0)</f>
        <v>299</v>
      </c>
      <c r="P452" s="4" t="str">
        <f t="shared" si="3"/>
        <v>Standard Merchant Day</v>
      </c>
    </row>
    <row r="453">
      <c r="A453" s="1" t="s">
        <v>1023</v>
      </c>
      <c r="B453" s="1">
        <v>241.0</v>
      </c>
      <c r="C453" s="1">
        <v>21.0</v>
      </c>
      <c r="D453" s="3">
        <v>46037.160416666666</v>
      </c>
      <c r="E453" s="1">
        <v>299.0</v>
      </c>
      <c r="F453" s="1" t="s">
        <v>46</v>
      </c>
      <c r="G453" s="1" t="s">
        <v>27</v>
      </c>
      <c r="H453" s="1">
        <v>26.0</v>
      </c>
      <c r="I453" s="4" t="str">
        <f>IFERROR(VLOOKUP(C453,Merchants!$A$2:$D$41,2,FALSE),"Merchant not found")</f>
        <v>Merchant_021</v>
      </c>
      <c r="J453" s="4" t="str">
        <f>IFERROR(VLOOKUP(C453,Merchants!$A$2:$D$41,3,FALSE),"Merchant not found")</f>
        <v>food_delivery</v>
      </c>
      <c r="K453" s="4" t="str">
        <f>IFERROR(VLOOKUP(C453,Merchants!$A$2:$D$41,4,FALSE),"Merchant not found")</f>
        <v>East</v>
      </c>
      <c r="L453" s="4">
        <f>IFERROR(HLOOKUP(F453,Fee_Lookup!$B$1:$E$2,2,FALSE),"Fee not found")</f>
        <v>0.01</v>
      </c>
      <c r="M453" s="5">
        <f t="shared" si="1"/>
        <v>46037</v>
      </c>
      <c r="N453" s="4" t="str">
        <f t="shared" si="2"/>
        <v>21|2026-01-15</v>
      </c>
      <c r="O453" s="4">
        <f>IFERROR(VLOOKUP(N453,Merchant_Daily!$A:$B,2,FALSE),0)</f>
        <v>299</v>
      </c>
      <c r="P453" s="4" t="str">
        <f t="shared" si="3"/>
        <v>Standard Merchant Day</v>
      </c>
    </row>
    <row r="454">
      <c r="A454" s="1" t="s">
        <v>1024</v>
      </c>
      <c r="B454" s="1">
        <v>24.0</v>
      </c>
      <c r="C454" s="1">
        <v>37.0</v>
      </c>
      <c r="D454" s="3">
        <v>46034.43472222222</v>
      </c>
      <c r="E454" s="1">
        <v>149.0</v>
      </c>
      <c r="F454" s="1" t="s">
        <v>35</v>
      </c>
      <c r="G454" s="1" t="s">
        <v>27</v>
      </c>
      <c r="H454" s="1">
        <v>28.0</v>
      </c>
      <c r="I454" s="4" t="str">
        <f>IFERROR(VLOOKUP(C454,Merchants!$A$2:$D$41,2,FALSE),"Merchant not found")</f>
        <v>Merchant_037</v>
      </c>
      <c r="J454" s="4" t="str">
        <f>IFERROR(VLOOKUP(C454,Merchants!$A$2:$D$41,3,FALSE),"Merchant not found")</f>
        <v>entertainment</v>
      </c>
      <c r="K454" s="4" t="str">
        <f>IFERROR(VLOOKUP(C454,Merchants!$A$2:$D$41,4,FALSE),"Merchant not found")</f>
        <v>South</v>
      </c>
      <c r="L454" s="4">
        <f>IFERROR(HLOOKUP(F454,Fee_Lookup!$B$1:$E$2,2,FALSE),"Fee not found")</f>
        <v>0</v>
      </c>
      <c r="M454" s="5">
        <f t="shared" si="1"/>
        <v>46034</v>
      </c>
      <c r="N454" s="4" t="str">
        <f t="shared" si="2"/>
        <v>37|2026-01-12</v>
      </c>
      <c r="O454" s="4">
        <f>IFERROR(VLOOKUP(N454,Merchant_Daily!$A:$B,2,FALSE),0)</f>
        <v>149</v>
      </c>
      <c r="P454" s="4" t="str">
        <f t="shared" si="3"/>
        <v>Standard Merchant Day</v>
      </c>
    </row>
    <row r="455">
      <c r="A455" s="1" t="s">
        <v>1025</v>
      </c>
      <c r="B455" s="1">
        <v>134.0</v>
      </c>
      <c r="C455" s="1">
        <v>36.0</v>
      </c>
      <c r="D455" s="3">
        <v>46046.16736111111</v>
      </c>
      <c r="E455" s="1">
        <v>1499.0</v>
      </c>
      <c r="F455" s="1" t="s">
        <v>35</v>
      </c>
      <c r="G455" s="1" t="s">
        <v>27</v>
      </c>
      <c r="H455" s="1">
        <v>74.0</v>
      </c>
      <c r="I455" s="4" t="str">
        <f>IFERROR(VLOOKUP(C455,Merchants!$A$2:$D$41,2,FALSE),"Merchant not found")</f>
        <v>Merchant_036</v>
      </c>
      <c r="J455" s="4" t="str">
        <f>IFERROR(VLOOKUP(C455,Merchants!$A$2:$D$41,3,FALSE),"Merchant not found")</f>
        <v>entertainment</v>
      </c>
      <c r="K455" s="4" t="str">
        <f>IFERROR(VLOOKUP(C455,Merchants!$A$2:$D$41,4,FALSE),"Merchant not found")</f>
        <v>East</v>
      </c>
      <c r="L455" s="4">
        <f>IFERROR(HLOOKUP(F455,Fee_Lookup!$B$1:$E$2,2,FALSE),"Fee not found")</f>
        <v>0</v>
      </c>
      <c r="M455" s="5">
        <f t="shared" si="1"/>
        <v>46046</v>
      </c>
      <c r="N455" s="4" t="str">
        <f t="shared" si="2"/>
        <v>36|2026-01-24</v>
      </c>
      <c r="O455" s="4">
        <f>IFERROR(VLOOKUP(N455,Merchant_Daily!$A:$B,2,FALSE),0)</f>
        <v>1647</v>
      </c>
      <c r="P455" s="4" t="str">
        <f t="shared" si="3"/>
        <v>Standard Merchant Day</v>
      </c>
    </row>
    <row r="456">
      <c r="A456" s="1" t="s">
        <v>1026</v>
      </c>
      <c r="B456" s="1">
        <v>152.0</v>
      </c>
      <c r="C456" s="1">
        <v>10.0</v>
      </c>
      <c r="D456" s="3">
        <v>46041.97638888889</v>
      </c>
      <c r="E456" s="1">
        <v>499.0</v>
      </c>
      <c r="F456" s="1" t="s">
        <v>26</v>
      </c>
      <c r="G456" s="1" t="s">
        <v>27</v>
      </c>
      <c r="H456" s="1">
        <v>25.0</v>
      </c>
      <c r="I456" s="4" t="str">
        <f>IFERROR(VLOOKUP(C456,Merchants!$A$2:$D$41,2,FALSE),"Merchant not found")</f>
        <v>Merchant_010</v>
      </c>
      <c r="J456" s="4" t="str">
        <f>IFERROR(VLOOKUP(C456,Merchants!$A$2:$D$41,3,FALSE),"Merchant not found")</f>
        <v>grocery</v>
      </c>
      <c r="K456" s="4" t="str">
        <f>IFERROR(VLOOKUP(C456,Merchants!$A$2:$D$41,4,FALSE),"Merchant not found")</f>
        <v>West</v>
      </c>
      <c r="L456" s="4">
        <f>IFERROR(HLOOKUP(F456,Fee_Lookup!$B$1:$E$2,2,FALSE),"Fee not found")</f>
        <v>0.005</v>
      </c>
      <c r="M456" s="5">
        <f t="shared" si="1"/>
        <v>46041</v>
      </c>
      <c r="N456" s="4" t="str">
        <f t="shared" si="2"/>
        <v>10|2026-01-19</v>
      </c>
      <c r="O456" s="4">
        <f>IFERROR(VLOOKUP(N456,Merchant_Daily!$A:$B,2,FALSE),0)</f>
        <v>499</v>
      </c>
      <c r="P456" s="4" t="str">
        <f t="shared" si="3"/>
        <v>Standard Merchant Day</v>
      </c>
    </row>
    <row r="457">
      <c r="A457" s="1" t="s">
        <v>1027</v>
      </c>
      <c r="B457" s="1">
        <v>292.0</v>
      </c>
      <c r="C457" s="1">
        <v>16.0</v>
      </c>
      <c r="D457" s="3">
        <v>46033.308333333334</v>
      </c>
      <c r="E457" s="1">
        <v>499.0</v>
      </c>
      <c r="F457" s="1" t="s">
        <v>47</v>
      </c>
      <c r="G457" s="1" t="s">
        <v>27</v>
      </c>
      <c r="H457" s="1">
        <v>63.0</v>
      </c>
      <c r="I457" s="4" t="str">
        <f>IFERROR(VLOOKUP(C457,Merchants!$A$2:$D$41,2,FALSE),"Merchant not found")</f>
        <v>Merchant_016</v>
      </c>
      <c r="J457" s="4" t="str">
        <f>IFERROR(VLOOKUP(C457,Merchants!$A$2:$D$41,3,FALSE),"Merchant not found")</f>
        <v>bill_payment</v>
      </c>
      <c r="K457" s="4" t="str">
        <f>IFERROR(VLOOKUP(C457,Merchants!$A$2:$D$41,4,FALSE),"Merchant not found")</f>
        <v>West</v>
      </c>
      <c r="L457" s="4">
        <f>IFERROR(HLOOKUP(F457,Fee_Lookup!$B$1:$E$2,2,FALSE),"Fee not found")</f>
        <v>0.015</v>
      </c>
      <c r="M457" s="5">
        <f t="shared" si="1"/>
        <v>46033</v>
      </c>
      <c r="N457" s="4" t="str">
        <f t="shared" si="2"/>
        <v>16|2026-01-11</v>
      </c>
      <c r="O457" s="4">
        <f>IFERROR(VLOOKUP(N457,Merchant_Daily!$A:$B,2,FALSE),0)</f>
        <v>499</v>
      </c>
      <c r="P457" s="4" t="str">
        <f t="shared" si="3"/>
        <v>Standard Merchant Day</v>
      </c>
    </row>
    <row r="458">
      <c r="A458" s="1" t="s">
        <v>1028</v>
      </c>
      <c r="B458" s="1">
        <v>173.0</v>
      </c>
      <c r="C458" s="1">
        <v>17.0</v>
      </c>
      <c r="D458" s="3">
        <v>46040.86319444444</v>
      </c>
      <c r="E458" s="1">
        <v>99.0</v>
      </c>
      <c r="F458" s="1" t="s">
        <v>47</v>
      </c>
      <c r="G458" s="1" t="s">
        <v>27</v>
      </c>
      <c r="H458" s="1">
        <v>97.0</v>
      </c>
      <c r="I458" s="4" t="str">
        <f>IFERROR(VLOOKUP(C458,Merchants!$A$2:$D$41,2,FALSE),"Merchant not found")</f>
        <v>Merchant_017</v>
      </c>
      <c r="J458" s="4" t="str">
        <f>IFERROR(VLOOKUP(C458,Merchants!$A$2:$D$41,3,FALSE),"Merchant not found")</f>
        <v>grocery</v>
      </c>
      <c r="K458" s="4" t="str">
        <f>IFERROR(VLOOKUP(C458,Merchants!$A$2:$D$41,4,FALSE),"Merchant not found")</f>
        <v>North</v>
      </c>
      <c r="L458" s="4">
        <f>IFERROR(HLOOKUP(F458,Fee_Lookup!$B$1:$E$2,2,FALSE),"Fee not found")</f>
        <v>0.015</v>
      </c>
      <c r="M458" s="5">
        <f t="shared" si="1"/>
        <v>46040</v>
      </c>
      <c r="N458" s="4" t="str">
        <f t="shared" si="2"/>
        <v>17|2026-01-18</v>
      </c>
      <c r="O458" s="4">
        <f>IFERROR(VLOOKUP(N458,Merchant_Daily!$A:$B,2,FALSE),0)</f>
        <v>198</v>
      </c>
      <c r="P458" s="4" t="str">
        <f t="shared" si="3"/>
        <v>Standard Merchant Day</v>
      </c>
    </row>
    <row r="459">
      <c r="A459" s="1" t="s">
        <v>1029</v>
      </c>
      <c r="B459" s="1">
        <v>329.0</v>
      </c>
      <c r="C459" s="1">
        <v>32.0</v>
      </c>
      <c r="D459" s="3">
        <v>46049.65694444445</v>
      </c>
      <c r="E459" s="1">
        <v>1499.0</v>
      </c>
      <c r="F459" s="1" t="s">
        <v>35</v>
      </c>
      <c r="G459" s="1" t="s">
        <v>27</v>
      </c>
      <c r="H459" s="1">
        <v>58.0</v>
      </c>
      <c r="I459" s="4" t="str">
        <f>IFERROR(VLOOKUP(C459,Merchants!$A$2:$D$41,2,FALSE),"Merchant not found")</f>
        <v>Merchant_032</v>
      </c>
      <c r="J459" s="4" t="str">
        <f>IFERROR(VLOOKUP(C459,Merchants!$A$2:$D$41,3,FALSE),"Merchant not found")</f>
        <v>food_delivery</v>
      </c>
      <c r="K459" s="4" t="str">
        <f>IFERROR(VLOOKUP(C459,Merchants!$A$2:$D$41,4,FALSE),"Merchant not found")</f>
        <v>West</v>
      </c>
      <c r="L459" s="4">
        <f>IFERROR(HLOOKUP(F459,Fee_Lookup!$B$1:$E$2,2,FALSE),"Fee not found")</f>
        <v>0</v>
      </c>
      <c r="M459" s="5">
        <f t="shared" si="1"/>
        <v>46049</v>
      </c>
      <c r="N459" s="4" t="str">
        <f t="shared" si="2"/>
        <v>32|2026-01-27</v>
      </c>
      <c r="O459" s="4">
        <f>IFERROR(VLOOKUP(N459,Merchant_Daily!$A:$B,2,FALSE),0)</f>
        <v>1499</v>
      </c>
      <c r="P459" s="4" t="str">
        <f t="shared" si="3"/>
        <v>Standard Merchant Day</v>
      </c>
    </row>
    <row r="460">
      <c r="A460" s="1" t="s">
        <v>1030</v>
      </c>
      <c r="B460" s="1">
        <v>181.0</v>
      </c>
      <c r="C460" s="1">
        <v>11.0</v>
      </c>
      <c r="D460" s="3">
        <v>46028.993055555555</v>
      </c>
      <c r="E460" s="1">
        <v>1499.0</v>
      </c>
      <c r="F460" s="1" t="s">
        <v>35</v>
      </c>
      <c r="G460" s="1" t="s">
        <v>27</v>
      </c>
      <c r="H460" s="1">
        <v>17.0</v>
      </c>
      <c r="I460" s="4" t="str">
        <f>IFERROR(VLOOKUP(C460,Merchants!$A$2:$D$41,2,FALSE),"Merchant not found")</f>
        <v>Merchant_011</v>
      </c>
      <c r="J460" s="4" t="str">
        <f>IFERROR(VLOOKUP(C460,Merchants!$A$2:$D$41,3,FALSE),"Merchant not found")</f>
        <v>ecommerce</v>
      </c>
      <c r="K460" s="4" t="str">
        <f>IFERROR(VLOOKUP(C460,Merchants!$A$2:$D$41,4,FALSE),"Merchant not found")</f>
        <v>North</v>
      </c>
      <c r="L460" s="4">
        <f>IFERROR(HLOOKUP(F460,Fee_Lookup!$B$1:$E$2,2,FALSE),"Fee not found")</f>
        <v>0</v>
      </c>
      <c r="M460" s="5">
        <f t="shared" si="1"/>
        <v>46028</v>
      </c>
      <c r="N460" s="4" t="str">
        <f t="shared" si="2"/>
        <v>11|2026-01-06</v>
      </c>
      <c r="O460" s="4">
        <f>IFERROR(VLOOKUP(N460,Merchant_Daily!$A:$B,2,FALSE),0)</f>
        <v>1499</v>
      </c>
      <c r="P460" s="4" t="str">
        <f t="shared" si="3"/>
        <v>Standard Merchant Day</v>
      </c>
    </row>
    <row r="461">
      <c r="A461" s="1" t="s">
        <v>1031</v>
      </c>
      <c r="B461" s="1">
        <v>95.0</v>
      </c>
      <c r="C461" s="1">
        <v>35.0</v>
      </c>
      <c r="D461" s="3">
        <v>46046.72986111111</v>
      </c>
      <c r="E461" s="1">
        <v>149.0</v>
      </c>
      <c r="F461" s="1" t="s">
        <v>26</v>
      </c>
      <c r="G461" s="1" t="s">
        <v>27</v>
      </c>
      <c r="H461" s="1">
        <v>82.0</v>
      </c>
      <c r="I461" s="4" t="str">
        <f>IFERROR(VLOOKUP(C461,Merchants!$A$2:$D$41,2,FALSE),"Merchant not found")</f>
        <v>Merchant_035</v>
      </c>
      <c r="J461" s="4" t="str">
        <f>IFERROR(VLOOKUP(C461,Merchants!$A$2:$D$41,3,FALSE),"Merchant not found")</f>
        <v>recharge</v>
      </c>
      <c r="K461" s="4" t="str">
        <f>IFERROR(VLOOKUP(C461,Merchants!$A$2:$D$41,4,FALSE),"Merchant not found")</f>
        <v>East</v>
      </c>
      <c r="L461" s="4">
        <f>IFERROR(HLOOKUP(F461,Fee_Lookup!$B$1:$E$2,2,FALSE),"Fee not found")</f>
        <v>0.005</v>
      </c>
      <c r="M461" s="5">
        <f t="shared" si="1"/>
        <v>46046</v>
      </c>
      <c r="N461" s="4" t="str">
        <f t="shared" si="2"/>
        <v>35|2026-01-24</v>
      </c>
      <c r="O461" s="4">
        <f>IFERROR(VLOOKUP(N461,Merchant_Daily!$A:$B,2,FALSE),0)</f>
        <v>149</v>
      </c>
      <c r="P461" s="4" t="str">
        <f t="shared" si="3"/>
        <v>Standard Merchant Day</v>
      </c>
    </row>
    <row r="462">
      <c r="A462" s="1" t="s">
        <v>1032</v>
      </c>
      <c r="B462" s="1">
        <v>39.0</v>
      </c>
      <c r="C462" s="1">
        <v>4.0</v>
      </c>
      <c r="D462" s="3">
        <v>46024.66805555556</v>
      </c>
      <c r="E462" s="1">
        <v>149.0</v>
      </c>
      <c r="F462" s="1" t="s">
        <v>47</v>
      </c>
      <c r="G462" s="1" t="s">
        <v>27</v>
      </c>
      <c r="H462" s="1">
        <v>97.0</v>
      </c>
      <c r="I462" s="4" t="str">
        <f>IFERROR(VLOOKUP(C462,Merchants!$A$2:$D$41,2,FALSE),"Merchant not found")</f>
        <v>Merchant_004</v>
      </c>
      <c r="J462" s="4" t="str">
        <f>IFERROR(VLOOKUP(C462,Merchants!$A$2:$D$41,3,FALSE),"Merchant not found")</f>
        <v>ecommerce</v>
      </c>
      <c r="K462" s="4" t="str">
        <f>IFERROR(VLOOKUP(C462,Merchants!$A$2:$D$41,4,FALSE),"Merchant not found")</f>
        <v>East</v>
      </c>
      <c r="L462" s="4">
        <f>IFERROR(HLOOKUP(F462,Fee_Lookup!$B$1:$E$2,2,FALSE),"Fee not found")</f>
        <v>0.015</v>
      </c>
      <c r="M462" s="5">
        <f t="shared" si="1"/>
        <v>46024</v>
      </c>
      <c r="N462" s="4" t="str">
        <f t="shared" si="2"/>
        <v>4|2026-01-02</v>
      </c>
      <c r="O462" s="4">
        <f>IFERROR(VLOOKUP(N462,Merchant_Daily!$A:$B,2,FALSE),0)</f>
        <v>149</v>
      </c>
      <c r="P462" s="4" t="str">
        <f t="shared" si="3"/>
        <v>Standard Merchant Day</v>
      </c>
    </row>
    <row r="463">
      <c r="A463" s="1" t="s">
        <v>1033</v>
      </c>
      <c r="B463" s="1">
        <v>323.0</v>
      </c>
      <c r="C463" s="1">
        <v>15.0</v>
      </c>
      <c r="D463" s="3">
        <v>46023.54722222222</v>
      </c>
      <c r="E463" s="1">
        <v>499.0</v>
      </c>
      <c r="F463" s="1" t="s">
        <v>35</v>
      </c>
      <c r="G463" s="1" t="s">
        <v>27</v>
      </c>
      <c r="H463" s="1">
        <v>8.0</v>
      </c>
      <c r="I463" s="4" t="str">
        <f>IFERROR(VLOOKUP(C463,Merchants!$A$2:$D$41,2,FALSE),"Merchant not found")</f>
        <v>Merchant_015</v>
      </c>
      <c r="J463" s="4" t="str">
        <f>IFERROR(VLOOKUP(C463,Merchants!$A$2:$D$41,3,FALSE),"Merchant not found")</f>
        <v>travel</v>
      </c>
      <c r="K463" s="4" t="str">
        <f>IFERROR(VLOOKUP(C463,Merchants!$A$2:$D$41,4,FALSE),"Merchant not found")</f>
        <v>North</v>
      </c>
      <c r="L463" s="4">
        <f>IFERROR(HLOOKUP(F463,Fee_Lookup!$B$1:$E$2,2,FALSE),"Fee not found")</f>
        <v>0</v>
      </c>
      <c r="M463" s="5">
        <f t="shared" si="1"/>
        <v>46023</v>
      </c>
      <c r="N463" s="4" t="str">
        <f t="shared" si="2"/>
        <v>15|2026-01-01</v>
      </c>
      <c r="O463" s="4">
        <f>IFERROR(VLOOKUP(N463,Merchant_Daily!$A:$B,2,FALSE),0)</f>
        <v>499</v>
      </c>
      <c r="P463" s="4" t="str">
        <f t="shared" si="3"/>
        <v>Standard Merchant Day</v>
      </c>
    </row>
    <row r="464">
      <c r="A464" s="1" t="s">
        <v>1034</v>
      </c>
      <c r="B464" s="1">
        <v>112.0</v>
      </c>
      <c r="C464" s="1">
        <v>33.0</v>
      </c>
      <c r="D464" s="3">
        <v>46045.166666666664</v>
      </c>
      <c r="E464" s="1">
        <v>49.0</v>
      </c>
      <c r="F464" s="1" t="s">
        <v>47</v>
      </c>
      <c r="G464" s="1" t="s">
        <v>27</v>
      </c>
      <c r="H464" s="1">
        <v>58.0</v>
      </c>
      <c r="I464" s="4" t="str">
        <f>IFERROR(VLOOKUP(C464,Merchants!$A$2:$D$41,2,FALSE),"Merchant not found")</f>
        <v>Merchant_033</v>
      </c>
      <c r="J464" s="4" t="str">
        <f>IFERROR(VLOOKUP(C464,Merchants!$A$2:$D$41,3,FALSE),"Merchant not found")</f>
        <v>bill_payment</v>
      </c>
      <c r="K464" s="4" t="str">
        <f>IFERROR(VLOOKUP(C464,Merchants!$A$2:$D$41,4,FALSE),"Merchant not found")</f>
        <v>East</v>
      </c>
      <c r="L464" s="4">
        <f>IFERROR(HLOOKUP(F464,Fee_Lookup!$B$1:$E$2,2,FALSE),"Fee not found")</f>
        <v>0.015</v>
      </c>
      <c r="M464" s="5">
        <f t="shared" si="1"/>
        <v>46045</v>
      </c>
      <c r="N464" s="4" t="str">
        <f t="shared" si="2"/>
        <v>33|2026-01-23</v>
      </c>
      <c r="O464" s="4">
        <f>IFERROR(VLOOKUP(N464,Merchant_Daily!$A:$B,2,FALSE),0)</f>
        <v>49</v>
      </c>
      <c r="P464" s="4" t="str">
        <f t="shared" si="3"/>
        <v>Standard Merchant Day</v>
      </c>
    </row>
    <row r="465">
      <c r="A465" s="1" t="s">
        <v>1035</v>
      </c>
      <c r="B465" s="1">
        <v>327.0</v>
      </c>
      <c r="C465" s="1">
        <v>40.0</v>
      </c>
      <c r="D465" s="3">
        <v>46034.06875</v>
      </c>
      <c r="E465" s="1">
        <v>99.0</v>
      </c>
      <c r="F465" s="1" t="s">
        <v>35</v>
      </c>
      <c r="G465" s="1" t="s">
        <v>27</v>
      </c>
      <c r="H465" s="1">
        <v>61.0</v>
      </c>
      <c r="I465" s="4" t="str">
        <f>IFERROR(VLOOKUP(C465,Merchants!$A$2:$D$41,2,FALSE),"Merchant not found")</f>
        <v>Merchant_040</v>
      </c>
      <c r="J465" s="4" t="str">
        <f>IFERROR(VLOOKUP(C465,Merchants!$A$2:$D$41,3,FALSE),"Merchant not found")</f>
        <v>entertainment</v>
      </c>
      <c r="K465" s="4" t="str">
        <f>IFERROR(VLOOKUP(C465,Merchants!$A$2:$D$41,4,FALSE),"Merchant not found")</f>
        <v>South</v>
      </c>
      <c r="L465" s="4">
        <f>IFERROR(HLOOKUP(F465,Fee_Lookup!$B$1:$E$2,2,FALSE),"Fee not found")</f>
        <v>0</v>
      </c>
      <c r="M465" s="5">
        <f t="shared" si="1"/>
        <v>46034</v>
      </c>
      <c r="N465" s="4" t="str">
        <f t="shared" si="2"/>
        <v>40|2026-01-12</v>
      </c>
      <c r="O465" s="4">
        <f>IFERROR(VLOOKUP(N465,Merchant_Daily!$A:$B,2,FALSE),0)</f>
        <v>99</v>
      </c>
      <c r="P465" s="4" t="str">
        <f t="shared" si="3"/>
        <v>Standard Merchant Day</v>
      </c>
    </row>
    <row r="466">
      <c r="A466" s="1" t="s">
        <v>1036</v>
      </c>
      <c r="B466" s="1">
        <v>4.0</v>
      </c>
      <c r="C466" s="1">
        <v>35.0</v>
      </c>
      <c r="D466" s="3">
        <v>46044.62569444445</v>
      </c>
      <c r="E466" s="1">
        <v>299.0</v>
      </c>
      <c r="F466" s="1" t="s">
        <v>35</v>
      </c>
      <c r="G466" s="1" t="s">
        <v>27</v>
      </c>
      <c r="H466" s="1">
        <v>70.0</v>
      </c>
      <c r="I466" s="4" t="str">
        <f>IFERROR(VLOOKUP(C466,Merchants!$A$2:$D$41,2,FALSE),"Merchant not found")</f>
        <v>Merchant_035</v>
      </c>
      <c r="J466" s="4" t="str">
        <f>IFERROR(VLOOKUP(C466,Merchants!$A$2:$D$41,3,FALSE),"Merchant not found")</f>
        <v>recharge</v>
      </c>
      <c r="K466" s="4" t="str">
        <f>IFERROR(VLOOKUP(C466,Merchants!$A$2:$D$41,4,FALSE),"Merchant not found")</f>
        <v>East</v>
      </c>
      <c r="L466" s="4">
        <f>IFERROR(HLOOKUP(F466,Fee_Lookup!$B$1:$E$2,2,FALSE),"Fee not found")</f>
        <v>0</v>
      </c>
      <c r="M466" s="5">
        <f t="shared" si="1"/>
        <v>46044</v>
      </c>
      <c r="N466" s="4" t="str">
        <f t="shared" si="2"/>
        <v>35|2026-01-22</v>
      </c>
      <c r="O466" s="4">
        <f>IFERROR(VLOOKUP(N466,Merchant_Daily!$A:$B,2,FALSE),0)</f>
        <v>299</v>
      </c>
      <c r="P466" s="4" t="str">
        <f t="shared" si="3"/>
        <v>Standard Merchant Day</v>
      </c>
    </row>
    <row r="467">
      <c r="A467" s="1" t="s">
        <v>1037</v>
      </c>
      <c r="B467" s="1">
        <v>272.0</v>
      </c>
      <c r="C467" s="1">
        <v>18.0</v>
      </c>
      <c r="D467" s="3">
        <v>46036.00069444445</v>
      </c>
      <c r="E467" s="1">
        <v>149.0</v>
      </c>
      <c r="F467" s="1" t="s">
        <v>35</v>
      </c>
      <c r="G467" s="1" t="s">
        <v>27</v>
      </c>
      <c r="H467" s="1">
        <v>68.0</v>
      </c>
      <c r="I467" s="4" t="str">
        <f>IFERROR(VLOOKUP(C467,Merchants!$A$2:$D$41,2,FALSE),"Merchant not found")</f>
        <v>Merchant_018</v>
      </c>
      <c r="J467" s="4" t="str">
        <f>IFERROR(VLOOKUP(C467,Merchants!$A$2:$D$41,3,FALSE),"Merchant not found")</f>
        <v>grocery</v>
      </c>
      <c r="K467" s="4" t="str">
        <f>IFERROR(VLOOKUP(C467,Merchants!$A$2:$D$41,4,FALSE),"Merchant not found")</f>
        <v>West</v>
      </c>
      <c r="L467" s="4">
        <f>IFERROR(HLOOKUP(F467,Fee_Lookup!$B$1:$E$2,2,FALSE),"Fee not found")</f>
        <v>0</v>
      </c>
      <c r="M467" s="5">
        <f t="shared" si="1"/>
        <v>46036</v>
      </c>
      <c r="N467" s="4" t="str">
        <f t="shared" si="2"/>
        <v>18|2026-01-14</v>
      </c>
      <c r="O467" s="4">
        <f>IFERROR(VLOOKUP(N467,Merchant_Daily!$A:$B,2,FALSE),0)</f>
        <v>149</v>
      </c>
      <c r="P467" s="4" t="str">
        <f t="shared" si="3"/>
        <v>Standard Merchant Day</v>
      </c>
    </row>
    <row r="468">
      <c r="A468" s="1" t="s">
        <v>1038</v>
      </c>
      <c r="B468" s="1">
        <v>346.0</v>
      </c>
      <c r="C468" s="1">
        <v>28.0</v>
      </c>
      <c r="D468" s="3">
        <v>46032.02222222222</v>
      </c>
      <c r="E468" s="1">
        <v>499.0</v>
      </c>
      <c r="F468" s="1" t="s">
        <v>35</v>
      </c>
      <c r="G468" s="1" t="s">
        <v>27</v>
      </c>
      <c r="H468" s="1">
        <v>22.0</v>
      </c>
      <c r="I468" s="4" t="str">
        <f>IFERROR(VLOOKUP(C468,Merchants!$A$2:$D$41,2,FALSE),"Merchant not found")</f>
        <v>Merchant_028</v>
      </c>
      <c r="J468" s="4" t="str">
        <f>IFERROR(VLOOKUP(C468,Merchants!$A$2:$D$41,3,FALSE),"Merchant not found")</f>
        <v>ecommerce</v>
      </c>
      <c r="K468" s="4" t="str">
        <f>IFERROR(VLOOKUP(C468,Merchants!$A$2:$D$41,4,FALSE),"Merchant not found")</f>
        <v>South</v>
      </c>
      <c r="L468" s="4">
        <f>IFERROR(HLOOKUP(F468,Fee_Lookup!$B$1:$E$2,2,FALSE),"Fee not found")</f>
        <v>0</v>
      </c>
      <c r="M468" s="5">
        <f t="shared" si="1"/>
        <v>46032</v>
      </c>
      <c r="N468" s="4" t="str">
        <f t="shared" si="2"/>
        <v>28|2026-01-10</v>
      </c>
      <c r="O468" s="4">
        <f>IFERROR(VLOOKUP(N468,Merchant_Daily!$A:$B,2,FALSE),0)</f>
        <v>499</v>
      </c>
      <c r="P468" s="4" t="str">
        <f t="shared" si="3"/>
        <v>Standard Merchant Day</v>
      </c>
    </row>
    <row r="469">
      <c r="A469" s="1" t="s">
        <v>1039</v>
      </c>
      <c r="B469" s="1">
        <v>77.0</v>
      </c>
      <c r="C469" s="1">
        <v>16.0</v>
      </c>
      <c r="D469" s="3">
        <v>46026.14791666667</v>
      </c>
      <c r="E469" s="1">
        <v>49.0</v>
      </c>
      <c r="F469" s="1" t="s">
        <v>26</v>
      </c>
      <c r="G469" s="1" t="s">
        <v>27</v>
      </c>
      <c r="H469" s="1">
        <v>24.0</v>
      </c>
      <c r="I469" s="4" t="str">
        <f>IFERROR(VLOOKUP(C469,Merchants!$A$2:$D$41,2,FALSE),"Merchant not found")</f>
        <v>Merchant_016</v>
      </c>
      <c r="J469" s="4" t="str">
        <f>IFERROR(VLOOKUP(C469,Merchants!$A$2:$D$41,3,FALSE),"Merchant not found")</f>
        <v>bill_payment</v>
      </c>
      <c r="K469" s="4" t="str">
        <f>IFERROR(VLOOKUP(C469,Merchants!$A$2:$D$41,4,FALSE),"Merchant not found")</f>
        <v>West</v>
      </c>
      <c r="L469" s="4">
        <f>IFERROR(HLOOKUP(F469,Fee_Lookup!$B$1:$E$2,2,FALSE),"Fee not found")</f>
        <v>0.005</v>
      </c>
      <c r="M469" s="5">
        <f t="shared" si="1"/>
        <v>46026</v>
      </c>
      <c r="N469" s="4" t="str">
        <f t="shared" si="2"/>
        <v>16|2026-01-04</v>
      </c>
      <c r="O469" s="4">
        <f>IFERROR(VLOOKUP(N469,Merchant_Daily!$A:$B,2,FALSE),0)</f>
        <v>49</v>
      </c>
      <c r="P469" s="4" t="str">
        <f t="shared" si="3"/>
        <v>Standard Merchant Day</v>
      </c>
    </row>
    <row r="470">
      <c r="A470" s="1" t="s">
        <v>1040</v>
      </c>
      <c r="B470" s="1">
        <v>182.0</v>
      </c>
      <c r="C470" s="1">
        <v>18.0</v>
      </c>
      <c r="D470" s="3">
        <v>46042.677777777775</v>
      </c>
      <c r="E470" s="1">
        <v>149.0</v>
      </c>
      <c r="F470" s="1" t="s">
        <v>46</v>
      </c>
      <c r="G470" s="1" t="s">
        <v>27</v>
      </c>
      <c r="H470" s="1">
        <v>50.0</v>
      </c>
      <c r="I470" s="4" t="str">
        <f>IFERROR(VLOOKUP(C470,Merchants!$A$2:$D$41,2,FALSE),"Merchant not found")</f>
        <v>Merchant_018</v>
      </c>
      <c r="J470" s="4" t="str">
        <f>IFERROR(VLOOKUP(C470,Merchants!$A$2:$D$41,3,FALSE),"Merchant not found")</f>
        <v>grocery</v>
      </c>
      <c r="K470" s="4" t="str">
        <f>IFERROR(VLOOKUP(C470,Merchants!$A$2:$D$41,4,FALSE),"Merchant not found")</f>
        <v>West</v>
      </c>
      <c r="L470" s="4">
        <f>IFERROR(HLOOKUP(F470,Fee_Lookup!$B$1:$E$2,2,FALSE),"Fee not found")</f>
        <v>0.01</v>
      </c>
      <c r="M470" s="5">
        <f t="shared" si="1"/>
        <v>46042</v>
      </c>
      <c r="N470" s="4" t="str">
        <f t="shared" si="2"/>
        <v>18|2026-01-20</v>
      </c>
      <c r="O470" s="4">
        <f>IFERROR(VLOOKUP(N470,Merchant_Daily!$A:$B,2,FALSE),0)</f>
        <v>149</v>
      </c>
      <c r="P470" s="4" t="str">
        <f t="shared" si="3"/>
        <v>Standard Merchant Day</v>
      </c>
    </row>
    <row r="471">
      <c r="A471" s="1" t="s">
        <v>1041</v>
      </c>
      <c r="B471" s="1">
        <v>236.0</v>
      </c>
      <c r="C471" s="1">
        <v>37.0</v>
      </c>
      <c r="D471" s="3">
        <v>46025.475694444445</v>
      </c>
      <c r="E471" s="1">
        <v>299.0</v>
      </c>
      <c r="F471" s="1" t="s">
        <v>46</v>
      </c>
      <c r="G471" s="1" t="s">
        <v>27</v>
      </c>
      <c r="H471" s="1">
        <v>31.0</v>
      </c>
      <c r="I471" s="4" t="str">
        <f>IFERROR(VLOOKUP(C471,Merchants!$A$2:$D$41,2,FALSE),"Merchant not found")</f>
        <v>Merchant_037</v>
      </c>
      <c r="J471" s="4" t="str">
        <f>IFERROR(VLOOKUP(C471,Merchants!$A$2:$D$41,3,FALSE),"Merchant not found")</f>
        <v>entertainment</v>
      </c>
      <c r="K471" s="4" t="str">
        <f>IFERROR(VLOOKUP(C471,Merchants!$A$2:$D$41,4,FALSE),"Merchant not found")</f>
        <v>South</v>
      </c>
      <c r="L471" s="4">
        <f>IFERROR(HLOOKUP(F471,Fee_Lookup!$B$1:$E$2,2,FALSE),"Fee not found")</f>
        <v>0.01</v>
      </c>
      <c r="M471" s="5">
        <f t="shared" si="1"/>
        <v>46025</v>
      </c>
      <c r="N471" s="4" t="str">
        <f t="shared" si="2"/>
        <v>37|2026-01-03</v>
      </c>
      <c r="O471" s="4">
        <f>IFERROR(VLOOKUP(N471,Merchant_Daily!$A:$B,2,FALSE),0)</f>
        <v>299</v>
      </c>
      <c r="P471" s="4" t="str">
        <f t="shared" si="3"/>
        <v>Standard Merchant Day</v>
      </c>
    </row>
    <row r="472">
      <c r="A472" s="1" t="s">
        <v>1042</v>
      </c>
      <c r="B472" s="1">
        <v>42.0</v>
      </c>
      <c r="C472" s="1">
        <v>3.0</v>
      </c>
      <c r="D472" s="3">
        <v>46045.30486111111</v>
      </c>
      <c r="E472" s="1">
        <v>49.0</v>
      </c>
      <c r="F472" s="1" t="s">
        <v>35</v>
      </c>
      <c r="G472" s="1" t="s">
        <v>27</v>
      </c>
      <c r="H472" s="1">
        <v>11.0</v>
      </c>
      <c r="I472" s="4" t="str">
        <f>IFERROR(VLOOKUP(C472,Merchants!$A$2:$D$41,2,FALSE),"Merchant not found")</f>
        <v>Merchant_003</v>
      </c>
      <c r="J472" s="4" t="str">
        <f>IFERROR(VLOOKUP(C472,Merchants!$A$2:$D$41,3,FALSE),"Merchant not found")</f>
        <v>grocery</v>
      </c>
      <c r="K472" s="4" t="str">
        <f>IFERROR(VLOOKUP(C472,Merchants!$A$2:$D$41,4,FALSE),"Merchant not found")</f>
        <v>East</v>
      </c>
      <c r="L472" s="4">
        <f>IFERROR(HLOOKUP(F472,Fee_Lookup!$B$1:$E$2,2,FALSE),"Fee not found")</f>
        <v>0</v>
      </c>
      <c r="M472" s="5">
        <f t="shared" si="1"/>
        <v>46045</v>
      </c>
      <c r="N472" s="4" t="str">
        <f t="shared" si="2"/>
        <v>3|2026-01-23</v>
      </c>
      <c r="O472" s="4">
        <f>IFERROR(VLOOKUP(N472,Merchant_Daily!$A:$B,2,FALSE),0)</f>
        <v>49</v>
      </c>
      <c r="P472" s="4" t="str">
        <f t="shared" si="3"/>
        <v>Standard Merchant Day</v>
      </c>
    </row>
    <row r="473">
      <c r="A473" s="1" t="s">
        <v>1043</v>
      </c>
      <c r="B473" s="1">
        <v>283.0</v>
      </c>
      <c r="C473" s="1">
        <v>31.0</v>
      </c>
      <c r="D473" s="3">
        <v>46035.51666666667</v>
      </c>
      <c r="E473" s="1">
        <v>299.0</v>
      </c>
      <c r="F473" s="1" t="s">
        <v>47</v>
      </c>
      <c r="G473" s="1" t="s">
        <v>27</v>
      </c>
      <c r="H473" s="1">
        <v>7.0</v>
      </c>
      <c r="I473" s="4" t="str">
        <f>IFERROR(VLOOKUP(C473,Merchants!$A$2:$D$41,2,FALSE),"Merchant not found")</f>
        <v>Merchant_031</v>
      </c>
      <c r="J473" s="4" t="str">
        <f>IFERROR(VLOOKUP(C473,Merchants!$A$2:$D$41,3,FALSE),"Merchant not found")</f>
        <v>bill_payment</v>
      </c>
      <c r="K473" s="4" t="str">
        <f>IFERROR(VLOOKUP(C473,Merchants!$A$2:$D$41,4,FALSE),"Merchant not found")</f>
        <v>East</v>
      </c>
      <c r="L473" s="4">
        <f>IFERROR(HLOOKUP(F473,Fee_Lookup!$B$1:$E$2,2,FALSE),"Fee not found")</f>
        <v>0.015</v>
      </c>
      <c r="M473" s="5">
        <f t="shared" si="1"/>
        <v>46035</v>
      </c>
      <c r="N473" s="4" t="str">
        <f t="shared" si="2"/>
        <v>31|2026-01-13</v>
      </c>
      <c r="O473" s="4">
        <f>IFERROR(VLOOKUP(N473,Merchant_Daily!$A:$B,2,FALSE),0)</f>
        <v>299</v>
      </c>
      <c r="P473" s="4" t="str">
        <f t="shared" si="3"/>
        <v>Standard Merchant Day</v>
      </c>
    </row>
    <row r="474">
      <c r="A474" s="1" t="s">
        <v>1044</v>
      </c>
      <c r="B474" s="1">
        <v>88.0</v>
      </c>
      <c r="C474" s="1">
        <v>6.0</v>
      </c>
      <c r="D474" s="3">
        <v>46043.03055555555</v>
      </c>
      <c r="E474" s="1">
        <v>49.0</v>
      </c>
      <c r="F474" s="1" t="s">
        <v>35</v>
      </c>
      <c r="G474" s="1" t="s">
        <v>27</v>
      </c>
      <c r="H474" s="1">
        <v>63.0</v>
      </c>
      <c r="I474" s="4" t="str">
        <f>IFERROR(VLOOKUP(C474,Merchants!$A$2:$D$41,2,FALSE),"Merchant not found")</f>
        <v>Merchant_006</v>
      </c>
      <c r="J474" s="4" t="str">
        <f>IFERROR(VLOOKUP(C474,Merchants!$A$2:$D$41,3,FALSE),"Merchant not found")</f>
        <v>food_delivery</v>
      </c>
      <c r="K474" s="4" t="str">
        <f>IFERROR(VLOOKUP(C474,Merchants!$A$2:$D$41,4,FALSE),"Merchant not found")</f>
        <v>South</v>
      </c>
      <c r="L474" s="4">
        <f>IFERROR(HLOOKUP(F474,Fee_Lookup!$B$1:$E$2,2,FALSE),"Fee not found")</f>
        <v>0</v>
      </c>
      <c r="M474" s="5">
        <f t="shared" si="1"/>
        <v>46043</v>
      </c>
      <c r="N474" s="4" t="str">
        <f t="shared" si="2"/>
        <v>6|2026-01-21</v>
      </c>
      <c r="O474" s="4">
        <f>IFERROR(VLOOKUP(N474,Merchant_Daily!$A:$B,2,FALSE),0)</f>
        <v>49</v>
      </c>
      <c r="P474" s="4" t="str">
        <f t="shared" si="3"/>
        <v>Standard Merchant Day</v>
      </c>
    </row>
    <row r="475">
      <c r="A475" s="1" t="s">
        <v>1045</v>
      </c>
      <c r="B475" s="1">
        <v>170.0</v>
      </c>
      <c r="C475" s="1">
        <v>37.0</v>
      </c>
      <c r="D475" s="3">
        <v>46050.57013888889</v>
      </c>
      <c r="E475" s="1">
        <v>99.0</v>
      </c>
      <c r="F475" s="1" t="s">
        <v>35</v>
      </c>
      <c r="G475" s="1" t="s">
        <v>30</v>
      </c>
      <c r="H475" s="1">
        <v>12.0</v>
      </c>
      <c r="I475" s="4" t="str">
        <f>IFERROR(VLOOKUP(C475,Merchants!$A$2:$D$41,2,FALSE),"Merchant not found")</f>
        <v>Merchant_037</v>
      </c>
      <c r="J475" s="4" t="str">
        <f>IFERROR(VLOOKUP(C475,Merchants!$A$2:$D$41,3,FALSE),"Merchant not found")</f>
        <v>entertainment</v>
      </c>
      <c r="K475" s="4" t="str">
        <f>IFERROR(VLOOKUP(C475,Merchants!$A$2:$D$41,4,FALSE),"Merchant not found")</f>
        <v>South</v>
      </c>
      <c r="L475" s="4">
        <f>IFERROR(HLOOKUP(F475,Fee_Lookup!$B$1:$E$2,2,FALSE),"Fee not found")</f>
        <v>0</v>
      </c>
      <c r="M475" s="5">
        <f t="shared" si="1"/>
        <v>46050</v>
      </c>
      <c r="N475" s="4" t="str">
        <f t="shared" si="2"/>
        <v>37|2026-01-28</v>
      </c>
      <c r="O475" s="4">
        <f>IFERROR(VLOOKUP(N475,Merchant_Daily!$A:$B,2,FALSE),0)</f>
        <v>697</v>
      </c>
      <c r="P475" s="4" t="str">
        <f t="shared" si="3"/>
        <v>Standard Merchant Day</v>
      </c>
    </row>
    <row r="476">
      <c r="A476" s="1" t="s">
        <v>1046</v>
      </c>
      <c r="B476" s="1">
        <v>22.0</v>
      </c>
      <c r="C476" s="1">
        <v>15.0</v>
      </c>
      <c r="D476" s="3">
        <v>46051.70694444444</v>
      </c>
      <c r="E476" s="1">
        <v>49.0</v>
      </c>
      <c r="F476" s="1" t="s">
        <v>47</v>
      </c>
      <c r="G476" s="1" t="s">
        <v>27</v>
      </c>
      <c r="H476" s="1">
        <v>27.0</v>
      </c>
      <c r="I476" s="4" t="str">
        <f>IFERROR(VLOOKUP(C476,Merchants!$A$2:$D$41,2,FALSE),"Merchant not found")</f>
        <v>Merchant_015</v>
      </c>
      <c r="J476" s="4" t="str">
        <f>IFERROR(VLOOKUP(C476,Merchants!$A$2:$D$41,3,FALSE),"Merchant not found")</f>
        <v>travel</v>
      </c>
      <c r="K476" s="4" t="str">
        <f>IFERROR(VLOOKUP(C476,Merchants!$A$2:$D$41,4,FALSE),"Merchant not found")</f>
        <v>North</v>
      </c>
      <c r="L476" s="4">
        <f>IFERROR(HLOOKUP(F476,Fee_Lookup!$B$1:$E$2,2,FALSE),"Fee not found")</f>
        <v>0.015</v>
      </c>
      <c r="M476" s="5">
        <f t="shared" si="1"/>
        <v>46051</v>
      </c>
      <c r="N476" s="4" t="str">
        <f t="shared" si="2"/>
        <v>15|2026-01-29</v>
      </c>
      <c r="O476" s="4">
        <f>IFERROR(VLOOKUP(N476,Merchant_Daily!$A:$B,2,FALSE),0)</f>
        <v>98</v>
      </c>
      <c r="P476" s="4" t="str">
        <f t="shared" si="3"/>
        <v>Standard Merchant Day</v>
      </c>
    </row>
    <row r="477">
      <c r="A477" s="1" t="s">
        <v>1047</v>
      </c>
      <c r="B477" s="1">
        <v>291.0</v>
      </c>
      <c r="C477" s="1">
        <v>31.0</v>
      </c>
      <c r="D477" s="3">
        <v>46051.955555555556</v>
      </c>
      <c r="E477" s="1">
        <v>49.0</v>
      </c>
      <c r="F477" s="1" t="s">
        <v>47</v>
      </c>
      <c r="G477" s="1" t="s">
        <v>30</v>
      </c>
      <c r="H477" s="1">
        <v>34.0</v>
      </c>
      <c r="I477" s="4" t="str">
        <f>IFERROR(VLOOKUP(C477,Merchants!$A$2:$D$41,2,FALSE),"Merchant not found")</f>
        <v>Merchant_031</v>
      </c>
      <c r="J477" s="4" t="str">
        <f>IFERROR(VLOOKUP(C477,Merchants!$A$2:$D$41,3,FALSE),"Merchant not found")</f>
        <v>bill_payment</v>
      </c>
      <c r="K477" s="4" t="str">
        <f>IFERROR(VLOOKUP(C477,Merchants!$A$2:$D$41,4,FALSE),"Merchant not found")</f>
        <v>East</v>
      </c>
      <c r="L477" s="4">
        <f>IFERROR(HLOOKUP(F477,Fee_Lookup!$B$1:$E$2,2,FALSE),"Fee not found")</f>
        <v>0.015</v>
      </c>
      <c r="M477" s="5">
        <f t="shared" si="1"/>
        <v>46051</v>
      </c>
      <c r="N477" s="4" t="str">
        <f t="shared" si="2"/>
        <v>31|2026-01-29</v>
      </c>
      <c r="O477" s="4">
        <f>IFERROR(VLOOKUP(N477,Merchant_Daily!$A:$B,2,FALSE),0)</f>
        <v>49</v>
      </c>
      <c r="P477" s="4" t="str">
        <f t="shared" si="3"/>
        <v>Standard Merchant Day</v>
      </c>
    </row>
    <row r="478">
      <c r="A478" s="1" t="s">
        <v>1048</v>
      </c>
      <c r="B478" s="1">
        <v>144.0</v>
      </c>
      <c r="C478" s="1">
        <v>35.0</v>
      </c>
      <c r="D478" s="3">
        <v>46024.11319444444</v>
      </c>
      <c r="E478" s="1">
        <v>1499.0</v>
      </c>
      <c r="F478" s="1" t="s">
        <v>35</v>
      </c>
      <c r="G478" s="1" t="s">
        <v>27</v>
      </c>
      <c r="H478" s="1">
        <v>72.0</v>
      </c>
      <c r="I478" s="4" t="str">
        <f>IFERROR(VLOOKUP(C478,Merchants!$A$2:$D$41,2,FALSE),"Merchant not found")</f>
        <v>Merchant_035</v>
      </c>
      <c r="J478" s="4" t="str">
        <f>IFERROR(VLOOKUP(C478,Merchants!$A$2:$D$41,3,FALSE),"Merchant not found")</f>
        <v>recharge</v>
      </c>
      <c r="K478" s="4" t="str">
        <f>IFERROR(VLOOKUP(C478,Merchants!$A$2:$D$41,4,FALSE),"Merchant not found")</f>
        <v>East</v>
      </c>
      <c r="L478" s="4">
        <f>IFERROR(HLOOKUP(F478,Fee_Lookup!$B$1:$E$2,2,FALSE),"Fee not found")</f>
        <v>0</v>
      </c>
      <c r="M478" s="5">
        <f t="shared" si="1"/>
        <v>46024</v>
      </c>
      <c r="N478" s="4" t="str">
        <f t="shared" si="2"/>
        <v>35|2026-01-02</v>
      </c>
      <c r="O478" s="4">
        <f>IFERROR(VLOOKUP(N478,Merchant_Daily!$A:$B,2,FALSE),0)</f>
        <v>1847</v>
      </c>
      <c r="P478" s="4" t="str">
        <f t="shared" si="3"/>
        <v>Standard Merchant Day</v>
      </c>
    </row>
    <row r="479">
      <c r="A479" s="1" t="s">
        <v>1049</v>
      </c>
      <c r="B479" s="1">
        <v>162.0</v>
      </c>
      <c r="C479" s="1">
        <v>2.0</v>
      </c>
      <c r="D479" s="3">
        <v>46044.049305555556</v>
      </c>
      <c r="E479" s="1">
        <v>299.0</v>
      </c>
      <c r="F479" s="1" t="s">
        <v>26</v>
      </c>
      <c r="G479" s="1" t="s">
        <v>27</v>
      </c>
      <c r="H479" s="1">
        <v>26.0</v>
      </c>
      <c r="I479" s="4" t="str">
        <f>IFERROR(VLOOKUP(C479,Merchants!$A$2:$D$41,2,FALSE),"Merchant not found")</f>
        <v>Merchant_002</v>
      </c>
      <c r="J479" s="4" t="str">
        <f>IFERROR(VLOOKUP(C479,Merchants!$A$2:$D$41,3,FALSE),"Merchant not found")</f>
        <v>grocery</v>
      </c>
      <c r="K479" s="4" t="str">
        <f>IFERROR(VLOOKUP(C479,Merchants!$A$2:$D$41,4,FALSE),"Merchant not found")</f>
        <v>West</v>
      </c>
      <c r="L479" s="4">
        <f>IFERROR(HLOOKUP(F479,Fee_Lookup!$B$1:$E$2,2,FALSE),"Fee not found")</f>
        <v>0.005</v>
      </c>
      <c r="M479" s="5">
        <f t="shared" si="1"/>
        <v>46044</v>
      </c>
      <c r="N479" s="4" t="str">
        <f t="shared" si="2"/>
        <v>2|2026-01-22</v>
      </c>
      <c r="O479" s="4">
        <f>IFERROR(VLOOKUP(N479,Merchant_Daily!$A:$B,2,FALSE),0)</f>
        <v>299</v>
      </c>
      <c r="P479" s="4" t="str">
        <f t="shared" si="3"/>
        <v>Standard Merchant Day</v>
      </c>
    </row>
    <row r="480">
      <c r="A480" s="1" t="s">
        <v>1050</v>
      </c>
      <c r="B480" s="1">
        <v>204.0</v>
      </c>
      <c r="C480" s="1">
        <v>5.0</v>
      </c>
      <c r="D480" s="3">
        <v>46041.2</v>
      </c>
      <c r="E480" s="1">
        <v>49.0</v>
      </c>
      <c r="F480" s="1" t="s">
        <v>35</v>
      </c>
      <c r="G480" s="1" t="s">
        <v>27</v>
      </c>
      <c r="H480" s="1">
        <v>38.0</v>
      </c>
      <c r="I480" s="4" t="str">
        <f>IFERROR(VLOOKUP(C480,Merchants!$A$2:$D$41,2,FALSE),"Merchant not found")</f>
        <v>Merchant_005</v>
      </c>
      <c r="J480" s="4" t="str">
        <f>IFERROR(VLOOKUP(C480,Merchants!$A$2:$D$41,3,FALSE),"Merchant not found")</f>
        <v>recharge</v>
      </c>
      <c r="K480" s="4" t="str">
        <f>IFERROR(VLOOKUP(C480,Merchants!$A$2:$D$41,4,FALSE),"Merchant not found")</f>
        <v>South</v>
      </c>
      <c r="L480" s="4">
        <f>IFERROR(HLOOKUP(F480,Fee_Lookup!$B$1:$E$2,2,FALSE),"Fee not found")</f>
        <v>0</v>
      </c>
      <c r="M480" s="5">
        <f t="shared" si="1"/>
        <v>46041</v>
      </c>
      <c r="N480" s="4" t="str">
        <f t="shared" si="2"/>
        <v>5|2026-01-19</v>
      </c>
      <c r="O480" s="4">
        <f>IFERROR(VLOOKUP(N480,Merchant_Daily!$A:$B,2,FALSE),0)</f>
        <v>49</v>
      </c>
      <c r="P480" s="4" t="str">
        <f t="shared" si="3"/>
        <v>Standard Merchant Day</v>
      </c>
    </row>
    <row r="481">
      <c r="A481" s="1" t="s">
        <v>1051</v>
      </c>
      <c r="B481" s="1">
        <v>291.0</v>
      </c>
      <c r="C481" s="1">
        <v>25.0</v>
      </c>
      <c r="D481" s="3">
        <v>46028.760416666664</v>
      </c>
      <c r="E481" s="1">
        <v>99.0</v>
      </c>
      <c r="F481" s="1" t="s">
        <v>26</v>
      </c>
      <c r="G481" s="1" t="s">
        <v>27</v>
      </c>
      <c r="H481" s="1">
        <v>86.0</v>
      </c>
      <c r="I481" s="4" t="str">
        <f>IFERROR(VLOOKUP(C481,Merchants!$A$2:$D$41,2,FALSE),"Merchant not found")</f>
        <v>Merchant_025</v>
      </c>
      <c r="J481" s="4" t="str">
        <f>IFERROR(VLOOKUP(C481,Merchants!$A$2:$D$41,3,FALSE),"Merchant not found")</f>
        <v>travel</v>
      </c>
      <c r="K481" s="4" t="str">
        <f>IFERROR(VLOOKUP(C481,Merchants!$A$2:$D$41,4,FALSE),"Merchant not found")</f>
        <v>South</v>
      </c>
      <c r="L481" s="4">
        <f>IFERROR(HLOOKUP(F481,Fee_Lookup!$B$1:$E$2,2,FALSE),"Fee not found")</f>
        <v>0.005</v>
      </c>
      <c r="M481" s="5">
        <f t="shared" si="1"/>
        <v>46028</v>
      </c>
      <c r="N481" s="4" t="str">
        <f t="shared" si="2"/>
        <v>25|2026-01-06</v>
      </c>
      <c r="O481" s="4">
        <f>IFERROR(VLOOKUP(N481,Merchant_Daily!$A:$B,2,FALSE),0)</f>
        <v>898</v>
      </c>
      <c r="P481" s="4" t="str">
        <f t="shared" si="3"/>
        <v>Standard Merchant Day</v>
      </c>
    </row>
    <row r="482">
      <c r="A482" s="1" t="s">
        <v>1052</v>
      </c>
      <c r="B482" s="1">
        <v>197.0</v>
      </c>
      <c r="C482" s="1">
        <v>9.0</v>
      </c>
      <c r="D482" s="3">
        <v>46051.722916666666</v>
      </c>
      <c r="E482" s="1">
        <v>49.0</v>
      </c>
      <c r="F482" s="1" t="s">
        <v>26</v>
      </c>
      <c r="G482" s="1" t="s">
        <v>30</v>
      </c>
      <c r="H482" s="1">
        <v>88.0</v>
      </c>
      <c r="I482" s="4" t="str">
        <f>IFERROR(VLOOKUP(C482,Merchants!$A$2:$D$41,2,FALSE),"Merchant not found")</f>
        <v>Merchant_009</v>
      </c>
      <c r="J482" s="4" t="str">
        <f>IFERROR(VLOOKUP(C482,Merchants!$A$2:$D$41,3,FALSE),"Merchant not found")</f>
        <v>ecommerce</v>
      </c>
      <c r="K482" s="4" t="str">
        <f>IFERROR(VLOOKUP(C482,Merchants!$A$2:$D$41,4,FALSE),"Merchant not found")</f>
        <v>North</v>
      </c>
      <c r="L482" s="4">
        <f>IFERROR(HLOOKUP(F482,Fee_Lookup!$B$1:$E$2,2,FALSE),"Fee not found")</f>
        <v>0.005</v>
      </c>
      <c r="M482" s="5">
        <f t="shared" si="1"/>
        <v>46051</v>
      </c>
      <c r="N482" s="4" t="str">
        <f t="shared" si="2"/>
        <v>9|2026-01-29</v>
      </c>
      <c r="O482" s="4">
        <f>IFERROR(VLOOKUP(N482,Merchant_Daily!$A:$B,2,FALSE),0)</f>
        <v>49</v>
      </c>
      <c r="P482" s="4" t="str">
        <f t="shared" si="3"/>
        <v>Standard Merchant Day</v>
      </c>
    </row>
    <row r="483">
      <c r="A483" s="1" t="s">
        <v>1053</v>
      </c>
      <c r="B483" s="1">
        <v>178.0</v>
      </c>
      <c r="C483" s="1">
        <v>4.0</v>
      </c>
      <c r="D483" s="3">
        <v>46046.10555555556</v>
      </c>
      <c r="E483" s="1">
        <v>1499.0</v>
      </c>
      <c r="F483" s="1" t="s">
        <v>35</v>
      </c>
      <c r="G483" s="1" t="s">
        <v>27</v>
      </c>
      <c r="H483" s="1">
        <v>12.0</v>
      </c>
      <c r="I483" s="4" t="str">
        <f>IFERROR(VLOOKUP(C483,Merchants!$A$2:$D$41,2,FALSE),"Merchant not found")</f>
        <v>Merchant_004</v>
      </c>
      <c r="J483" s="4" t="str">
        <f>IFERROR(VLOOKUP(C483,Merchants!$A$2:$D$41,3,FALSE),"Merchant not found")</f>
        <v>ecommerce</v>
      </c>
      <c r="K483" s="4" t="str">
        <f>IFERROR(VLOOKUP(C483,Merchants!$A$2:$D$41,4,FALSE),"Merchant not found")</f>
        <v>East</v>
      </c>
      <c r="L483" s="4">
        <f>IFERROR(HLOOKUP(F483,Fee_Lookup!$B$1:$E$2,2,FALSE),"Fee not found")</f>
        <v>0</v>
      </c>
      <c r="M483" s="5">
        <f t="shared" si="1"/>
        <v>46046</v>
      </c>
      <c r="N483" s="4" t="str">
        <f t="shared" si="2"/>
        <v>4|2026-01-24</v>
      </c>
      <c r="O483" s="4">
        <f>IFERROR(VLOOKUP(N483,Merchant_Daily!$A:$B,2,FALSE),0)</f>
        <v>1499</v>
      </c>
      <c r="P483" s="4" t="str">
        <f t="shared" si="3"/>
        <v>Standard Merchant Day</v>
      </c>
    </row>
    <row r="484">
      <c r="A484" s="1" t="s">
        <v>1054</v>
      </c>
      <c r="B484" s="1">
        <v>39.0</v>
      </c>
      <c r="C484" s="1">
        <v>22.0</v>
      </c>
      <c r="D484" s="3">
        <v>46036.32847222222</v>
      </c>
      <c r="E484" s="1">
        <v>799.0</v>
      </c>
      <c r="F484" s="1" t="s">
        <v>47</v>
      </c>
      <c r="G484" s="1" t="s">
        <v>27</v>
      </c>
      <c r="H484" s="1">
        <v>77.0</v>
      </c>
      <c r="I484" s="4" t="str">
        <f>IFERROR(VLOOKUP(C484,Merchants!$A$2:$D$41,2,FALSE),"Merchant not found")</f>
        <v>Merchant_022</v>
      </c>
      <c r="J484" s="4" t="str">
        <f>IFERROR(VLOOKUP(C484,Merchants!$A$2:$D$41,3,FALSE),"Merchant not found")</f>
        <v>travel</v>
      </c>
      <c r="K484" s="4" t="str">
        <f>IFERROR(VLOOKUP(C484,Merchants!$A$2:$D$41,4,FALSE),"Merchant not found")</f>
        <v>South</v>
      </c>
      <c r="L484" s="4">
        <f>IFERROR(HLOOKUP(F484,Fee_Lookup!$B$1:$E$2,2,FALSE),"Fee not found")</f>
        <v>0.015</v>
      </c>
      <c r="M484" s="5">
        <f t="shared" si="1"/>
        <v>46036</v>
      </c>
      <c r="N484" s="4" t="str">
        <f t="shared" si="2"/>
        <v>22|2026-01-14</v>
      </c>
      <c r="O484" s="4">
        <f>IFERROR(VLOOKUP(N484,Merchant_Daily!$A:$B,2,FALSE),0)</f>
        <v>799</v>
      </c>
      <c r="P484" s="4" t="str">
        <f t="shared" si="3"/>
        <v>Standard Merchant Day</v>
      </c>
    </row>
    <row r="485">
      <c r="A485" s="1" t="s">
        <v>1055</v>
      </c>
      <c r="B485" s="1">
        <v>204.0</v>
      </c>
      <c r="C485" s="1">
        <v>21.0</v>
      </c>
      <c r="D485" s="3">
        <v>46047.81805555556</v>
      </c>
      <c r="E485" s="1">
        <v>299.0</v>
      </c>
      <c r="F485" s="1" t="s">
        <v>26</v>
      </c>
      <c r="G485" s="1" t="s">
        <v>27</v>
      </c>
      <c r="H485" s="1">
        <v>3.0</v>
      </c>
      <c r="I485" s="4" t="str">
        <f>IFERROR(VLOOKUP(C485,Merchants!$A$2:$D$41,2,FALSE),"Merchant not found")</f>
        <v>Merchant_021</v>
      </c>
      <c r="J485" s="4" t="str">
        <f>IFERROR(VLOOKUP(C485,Merchants!$A$2:$D$41,3,FALSE),"Merchant not found")</f>
        <v>food_delivery</v>
      </c>
      <c r="K485" s="4" t="str">
        <f>IFERROR(VLOOKUP(C485,Merchants!$A$2:$D$41,4,FALSE),"Merchant not found")</f>
        <v>East</v>
      </c>
      <c r="L485" s="4">
        <f>IFERROR(HLOOKUP(F485,Fee_Lookup!$B$1:$E$2,2,FALSE),"Fee not found")</f>
        <v>0.005</v>
      </c>
      <c r="M485" s="5">
        <f t="shared" si="1"/>
        <v>46047</v>
      </c>
      <c r="N485" s="4" t="str">
        <f t="shared" si="2"/>
        <v>21|2026-01-25</v>
      </c>
      <c r="O485" s="4">
        <f>IFERROR(VLOOKUP(N485,Merchant_Daily!$A:$B,2,FALSE),0)</f>
        <v>299</v>
      </c>
      <c r="P485" s="4" t="str">
        <f t="shared" si="3"/>
        <v>Standard Merchant Day</v>
      </c>
    </row>
    <row r="486">
      <c r="A486" s="1" t="s">
        <v>1056</v>
      </c>
      <c r="B486" s="1">
        <v>231.0</v>
      </c>
      <c r="C486" s="1">
        <v>32.0</v>
      </c>
      <c r="D486" s="3">
        <v>46043.368055555555</v>
      </c>
      <c r="E486" s="1">
        <v>299.0</v>
      </c>
      <c r="F486" s="1" t="s">
        <v>35</v>
      </c>
      <c r="G486" s="1" t="s">
        <v>27</v>
      </c>
      <c r="H486" s="1">
        <v>29.0</v>
      </c>
      <c r="I486" s="4" t="str">
        <f>IFERROR(VLOOKUP(C486,Merchants!$A$2:$D$41,2,FALSE),"Merchant not found")</f>
        <v>Merchant_032</v>
      </c>
      <c r="J486" s="4" t="str">
        <f>IFERROR(VLOOKUP(C486,Merchants!$A$2:$D$41,3,FALSE),"Merchant not found")</f>
        <v>food_delivery</v>
      </c>
      <c r="K486" s="4" t="str">
        <f>IFERROR(VLOOKUP(C486,Merchants!$A$2:$D$41,4,FALSE),"Merchant not found")</f>
        <v>West</v>
      </c>
      <c r="L486" s="4">
        <f>IFERROR(HLOOKUP(F486,Fee_Lookup!$B$1:$E$2,2,FALSE),"Fee not found")</f>
        <v>0</v>
      </c>
      <c r="M486" s="5">
        <f t="shared" si="1"/>
        <v>46043</v>
      </c>
      <c r="N486" s="4" t="str">
        <f t="shared" si="2"/>
        <v>32|2026-01-21</v>
      </c>
      <c r="O486" s="4">
        <f>IFERROR(VLOOKUP(N486,Merchant_Daily!$A:$B,2,FALSE),0)</f>
        <v>348</v>
      </c>
      <c r="P486" s="4" t="str">
        <f t="shared" si="3"/>
        <v>Standard Merchant Day</v>
      </c>
    </row>
    <row r="487">
      <c r="A487" s="1" t="s">
        <v>1057</v>
      </c>
      <c r="B487" s="1">
        <v>222.0</v>
      </c>
      <c r="C487" s="1">
        <v>12.0</v>
      </c>
      <c r="D487" s="3">
        <v>46034.725</v>
      </c>
      <c r="E487" s="1">
        <v>499.0</v>
      </c>
      <c r="F487" s="1" t="s">
        <v>26</v>
      </c>
      <c r="G487" s="1" t="s">
        <v>30</v>
      </c>
      <c r="H487" s="1">
        <v>87.0</v>
      </c>
      <c r="I487" s="4" t="str">
        <f>IFERROR(VLOOKUP(C487,Merchants!$A$2:$D$41,2,FALSE),"Merchant not found")</f>
        <v>Merchant_012</v>
      </c>
      <c r="J487" s="4" t="str">
        <f>IFERROR(VLOOKUP(C487,Merchants!$A$2:$D$41,3,FALSE),"Merchant not found")</f>
        <v>ecommerce</v>
      </c>
      <c r="K487" s="4" t="str">
        <f>IFERROR(VLOOKUP(C487,Merchants!$A$2:$D$41,4,FALSE),"Merchant not found")</f>
        <v>East</v>
      </c>
      <c r="L487" s="4">
        <f>IFERROR(HLOOKUP(F487,Fee_Lookup!$B$1:$E$2,2,FALSE),"Fee not found")</f>
        <v>0.005</v>
      </c>
      <c r="M487" s="5">
        <f t="shared" si="1"/>
        <v>46034</v>
      </c>
      <c r="N487" s="4" t="str">
        <f t="shared" si="2"/>
        <v>12|2026-01-12</v>
      </c>
      <c r="O487" s="4">
        <f>IFERROR(VLOOKUP(N487,Merchant_Daily!$A:$B,2,FALSE),0)</f>
        <v>1998</v>
      </c>
      <c r="P487" s="4" t="str">
        <f t="shared" si="3"/>
        <v>Standard Merchant Day</v>
      </c>
    </row>
    <row r="488">
      <c r="A488" s="1" t="s">
        <v>1058</v>
      </c>
      <c r="B488" s="1">
        <v>44.0</v>
      </c>
      <c r="C488" s="1">
        <v>40.0</v>
      </c>
      <c r="D488" s="3">
        <v>46041.89166666667</v>
      </c>
      <c r="E488" s="1">
        <v>499.0</v>
      </c>
      <c r="F488" s="1" t="s">
        <v>35</v>
      </c>
      <c r="G488" s="1" t="s">
        <v>27</v>
      </c>
      <c r="H488" s="1">
        <v>37.0</v>
      </c>
      <c r="I488" s="4" t="str">
        <f>IFERROR(VLOOKUP(C488,Merchants!$A$2:$D$41,2,FALSE),"Merchant not found")</f>
        <v>Merchant_040</v>
      </c>
      <c r="J488" s="4" t="str">
        <f>IFERROR(VLOOKUP(C488,Merchants!$A$2:$D$41,3,FALSE),"Merchant not found")</f>
        <v>entertainment</v>
      </c>
      <c r="K488" s="4" t="str">
        <f>IFERROR(VLOOKUP(C488,Merchants!$A$2:$D$41,4,FALSE),"Merchant not found")</f>
        <v>South</v>
      </c>
      <c r="L488" s="4">
        <f>IFERROR(HLOOKUP(F488,Fee_Lookup!$B$1:$E$2,2,FALSE),"Fee not found")</f>
        <v>0</v>
      </c>
      <c r="M488" s="5">
        <f t="shared" si="1"/>
        <v>46041</v>
      </c>
      <c r="N488" s="4" t="str">
        <f t="shared" si="2"/>
        <v>40|2026-01-19</v>
      </c>
      <c r="O488" s="4">
        <f>IFERROR(VLOOKUP(N488,Merchant_Daily!$A:$B,2,FALSE),0)</f>
        <v>648</v>
      </c>
      <c r="P488" s="4" t="str">
        <f t="shared" si="3"/>
        <v>Standard Merchant Day</v>
      </c>
    </row>
    <row r="489">
      <c r="A489" s="1" t="s">
        <v>1059</v>
      </c>
      <c r="B489" s="1">
        <v>38.0</v>
      </c>
      <c r="C489" s="1">
        <v>6.0</v>
      </c>
      <c r="D489" s="3">
        <v>46048.322916666664</v>
      </c>
      <c r="E489" s="1">
        <v>49.0</v>
      </c>
      <c r="F489" s="1" t="s">
        <v>26</v>
      </c>
      <c r="G489" s="1" t="s">
        <v>27</v>
      </c>
      <c r="H489" s="1">
        <v>34.0</v>
      </c>
      <c r="I489" s="4" t="str">
        <f>IFERROR(VLOOKUP(C489,Merchants!$A$2:$D$41,2,FALSE),"Merchant not found")</f>
        <v>Merchant_006</v>
      </c>
      <c r="J489" s="4" t="str">
        <f>IFERROR(VLOOKUP(C489,Merchants!$A$2:$D$41,3,FALSE),"Merchant not found")</f>
        <v>food_delivery</v>
      </c>
      <c r="K489" s="4" t="str">
        <f>IFERROR(VLOOKUP(C489,Merchants!$A$2:$D$41,4,FALSE),"Merchant not found")</f>
        <v>South</v>
      </c>
      <c r="L489" s="4">
        <f>IFERROR(HLOOKUP(F489,Fee_Lookup!$B$1:$E$2,2,FALSE),"Fee not found")</f>
        <v>0.005</v>
      </c>
      <c r="M489" s="5">
        <f t="shared" si="1"/>
        <v>46048</v>
      </c>
      <c r="N489" s="4" t="str">
        <f t="shared" si="2"/>
        <v>6|2026-01-26</v>
      </c>
      <c r="O489" s="4">
        <f>IFERROR(VLOOKUP(N489,Merchant_Daily!$A:$B,2,FALSE),0)</f>
        <v>897</v>
      </c>
      <c r="P489" s="4" t="str">
        <f t="shared" si="3"/>
        <v>Standard Merchant Day</v>
      </c>
    </row>
    <row r="490">
      <c r="A490" s="1" t="s">
        <v>1060</v>
      </c>
      <c r="B490" s="1">
        <v>325.0</v>
      </c>
      <c r="C490" s="1">
        <v>10.0</v>
      </c>
      <c r="D490" s="3">
        <v>46027.53125</v>
      </c>
      <c r="E490" s="1">
        <v>49.0</v>
      </c>
      <c r="F490" s="1" t="s">
        <v>47</v>
      </c>
      <c r="G490" s="1" t="s">
        <v>34</v>
      </c>
      <c r="H490" s="1">
        <v>94.0</v>
      </c>
      <c r="I490" s="4" t="str">
        <f>IFERROR(VLOOKUP(C490,Merchants!$A$2:$D$41,2,FALSE),"Merchant not found")</f>
        <v>Merchant_010</v>
      </c>
      <c r="J490" s="4" t="str">
        <f>IFERROR(VLOOKUP(C490,Merchants!$A$2:$D$41,3,FALSE),"Merchant not found")</f>
        <v>grocery</v>
      </c>
      <c r="K490" s="4" t="str">
        <f>IFERROR(VLOOKUP(C490,Merchants!$A$2:$D$41,4,FALSE),"Merchant not found")</f>
        <v>West</v>
      </c>
      <c r="L490" s="4">
        <f>IFERROR(HLOOKUP(F490,Fee_Lookup!$B$1:$E$2,2,FALSE),"Fee not found")</f>
        <v>0.015</v>
      </c>
      <c r="M490" s="5">
        <f t="shared" si="1"/>
        <v>46027</v>
      </c>
      <c r="N490" s="4" t="str">
        <f t="shared" si="2"/>
        <v>10|2026-01-05</v>
      </c>
      <c r="O490" s="4">
        <f>IFERROR(VLOOKUP(N490,Merchant_Daily!$A:$B,2,FALSE),0)</f>
        <v>49</v>
      </c>
      <c r="P490" s="4" t="str">
        <f t="shared" si="3"/>
        <v>Standard Merchant Day</v>
      </c>
    </row>
    <row r="491">
      <c r="A491" s="1" t="s">
        <v>1061</v>
      </c>
      <c r="B491" s="1">
        <v>55.0</v>
      </c>
      <c r="C491" s="1">
        <v>6.0</v>
      </c>
      <c r="D491" s="3">
        <v>46035.43263888889</v>
      </c>
      <c r="E491" s="1">
        <v>1499.0</v>
      </c>
      <c r="F491" s="1" t="s">
        <v>46</v>
      </c>
      <c r="G491" s="1" t="s">
        <v>27</v>
      </c>
      <c r="H491" s="1">
        <v>0.0</v>
      </c>
      <c r="I491" s="4" t="str">
        <f>IFERROR(VLOOKUP(C491,Merchants!$A$2:$D$41,2,FALSE),"Merchant not found")</f>
        <v>Merchant_006</v>
      </c>
      <c r="J491" s="4" t="str">
        <f>IFERROR(VLOOKUP(C491,Merchants!$A$2:$D$41,3,FALSE),"Merchant not found")</f>
        <v>food_delivery</v>
      </c>
      <c r="K491" s="4" t="str">
        <f>IFERROR(VLOOKUP(C491,Merchants!$A$2:$D$41,4,FALSE),"Merchant not found")</f>
        <v>South</v>
      </c>
      <c r="L491" s="4">
        <f>IFERROR(HLOOKUP(F491,Fee_Lookup!$B$1:$E$2,2,FALSE),"Fee not found")</f>
        <v>0.01</v>
      </c>
      <c r="M491" s="5">
        <f t="shared" si="1"/>
        <v>46035</v>
      </c>
      <c r="N491" s="4" t="str">
        <f t="shared" si="2"/>
        <v>6|2026-01-13</v>
      </c>
      <c r="O491" s="4">
        <f>IFERROR(VLOOKUP(N491,Merchant_Daily!$A:$B,2,FALSE),0)</f>
        <v>1499</v>
      </c>
      <c r="P491" s="4" t="str">
        <f t="shared" si="3"/>
        <v>Standard Merchant Day</v>
      </c>
    </row>
    <row r="492">
      <c r="A492" s="1" t="s">
        <v>1062</v>
      </c>
      <c r="B492" s="1">
        <v>139.0</v>
      </c>
      <c r="C492" s="1">
        <v>7.0</v>
      </c>
      <c r="D492" s="3">
        <v>46032.59930555556</v>
      </c>
      <c r="E492" s="1">
        <v>499.0</v>
      </c>
      <c r="F492" s="1" t="s">
        <v>46</v>
      </c>
      <c r="G492" s="1" t="s">
        <v>27</v>
      </c>
      <c r="H492" s="1">
        <v>16.0</v>
      </c>
      <c r="I492" s="4" t="str">
        <f>IFERROR(VLOOKUP(C492,Merchants!$A$2:$D$41,2,FALSE),"Merchant not found")</f>
        <v>Merchant_007</v>
      </c>
      <c r="J492" s="4" t="str">
        <f>IFERROR(VLOOKUP(C492,Merchants!$A$2:$D$41,3,FALSE),"Merchant not found")</f>
        <v>food_delivery</v>
      </c>
      <c r="K492" s="4" t="str">
        <f>IFERROR(VLOOKUP(C492,Merchants!$A$2:$D$41,4,FALSE),"Merchant not found")</f>
        <v>East</v>
      </c>
      <c r="L492" s="4">
        <f>IFERROR(HLOOKUP(F492,Fee_Lookup!$B$1:$E$2,2,FALSE),"Fee not found")</f>
        <v>0.01</v>
      </c>
      <c r="M492" s="5">
        <f t="shared" si="1"/>
        <v>46032</v>
      </c>
      <c r="N492" s="4" t="str">
        <f t="shared" si="2"/>
        <v>7|2026-01-10</v>
      </c>
      <c r="O492" s="4">
        <f>IFERROR(VLOOKUP(N492,Merchant_Daily!$A:$B,2,FALSE),0)</f>
        <v>499</v>
      </c>
      <c r="P492" s="4" t="str">
        <f t="shared" si="3"/>
        <v>Standard Merchant Day</v>
      </c>
    </row>
    <row r="493">
      <c r="A493" s="1" t="s">
        <v>1063</v>
      </c>
      <c r="B493" s="1">
        <v>230.0</v>
      </c>
      <c r="C493" s="1">
        <v>36.0</v>
      </c>
      <c r="D493" s="3">
        <v>46025.22708333333</v>
      </c>
      <c r="E493" s="1">
        <v>99.0</v>
      </c>
      <c r="F493" s="1" t="s">
        <v>26</v>
      </c>
      <c r="G493" s="1" t="s">
        <v>27</v>
      </c>
      <c r="H493" s="1">
        <v>71.0</v>
      </c>
      <c r="I493" s="4" t="str">
        <f>IFERROR(VLOOKUP(C493,Merchants!$A$2:$D$41,2,FALSE),"Merchant not found")</f>
        <v>Merchant_036</v>
      </c>
      <c r="J493" s="4" t="str">
        <f>IFERROR(VLOOKUP(C493,Merchants!$A$2:$D$41,3,FALSE),"Merchant not found")</f>
        <v>entertainment</v>
      </c>
      <c r="K493" s="4" t="str">
        <f>IFERROR(VLOOKUP(C493,Merchants!$A$2:$D$41,4,FALSE),"Merchant not found")</f>
        <v>East</v>
      </c>
      <c r="L493" s="4">
        <f>IFERROR(HLOOKUP(F493,Fee_Lookup!$B$1:$E$2,2,FALSE),"Fee not found")</f>
        <v>0.005</v>
      </c>
      <c r="M493" s="5">
        <f t="shared" si="1"/>
        <v>46025</v>
      </c>
      <c r="N493" s="4" t="str">
        <f t="shared" si="2"/>
        <v>36|2026-01-03</v>
      </c>
      <c r="O493" s="4">
        <f>IFERROR(VLOOKUP(N493,Merchant_Daily!$A:$B,2,FALSE),0)</f>
        <v>248</v>
      </c>
      <c r="P493" s="4" t="str">
        <f t="shared" si="3"/>
        <v>Standard Merchant Day</v>
      </c>
    </row>
    <row r="494">
      <c r="A494" s="1" t="s">
        <v>1064</v>
      </c>
      <c r="B494" s="1">
        <v>14.0</v>
      </c>
      <c r="C494" s="1">
        <v>6.0</v>
      </c>
      <c r="D494" s="3">
        <v>46039.54583333333</v>
      </c>
      <c r="E494" s="1">
        <v>799.0</v>
      </c>
      <c r="F494" s="1" t="s">
        <v>46</v>
      </c>
      <c r="G494" s="1" t="s">
        <v>27</v>
      </c>
      <c r="H494" s="1">
        <v>45.0</v>
      </c>
      <c r="I494" s="4" t="str">
        <f>IFERROR(VLOOKUP(C494,Merchants!$A$2:$D$41,2,FALSE),"Merchant not found")</f>
        <v>Merchant_006</v>
      </c>
      <c r="J494" s="4" t="str">
        <f>IFERROR(VLOOKUP(C494,Merchants!$A$2:$D$41,3,FALSE),"Merchant not found")</f>
        <v>food_delivery</v>
      </c>
      <c r="K494" s="4" t="str">
        <f>IFERROR(VLOOKUP(C494,Merchants!$A$2:$D$41,4,FALSE),"Merchant not found")</f>
        <v>South</v>
      </c>
      <c r="L494" s="4">
        <f>IFERROR(HLOOKUP(F494,Fee_Lookup!$B$1:$E$2,2,FALSE),"Fee not found")</f>
        <v>0.01</v>
      </c>
      <c r="M494" s="5">
        <f t="shared" si="1"/>
        <v>46039</v>
      </c>
      <c r="N494" s="4" t="str">
        <f t="shared" si="2"/>
        <v>6|2026-01-17</v>
      </c>
      <c r="O494" s="4">
        <f>IFERROR(VLOOKUP(N494,Merchant_Daily!$A:$B,2,FALSE),0)</f>
        <v>799</v>
      </c>
      <c r="P494" s="4" t="str">
        <f t="shared" si="3"/>
        <v>Standard Merchant Day</v>
      </c>
    </row>
    <row r="495">
      <c r="A495" s="1" t="s">
        <v>1065</v>
      </c>
      <c r="B495" s="1">
        <v>307.0</v>
      </c>
      <c r="C495" s="1">
        <v>21.0</v>
      </c>
      <c r="D495" s="3">
        <v>46040.10972222222</v>
      </c>
      <c r="E495" s="1">
        <v>799.0</v>
      </c>
      <c r="F495" s="1" t="s">
        <v>35</v>
      </c>
      <c r="G495" s="1" t="s">
        <v>27</v>
      </c>
      <c r="H495" s="1">
        <v>49.0</v>
      </c>
      <c r="I495" s="4" t="str">
        <f>IFERROR(VLOOKUP(C495,Merchants!$A$2:$D$41,2,FALSE),"Merchant not found")</f>
        <v>Merchant_021</v>
      </c>
      <c r="J495" s="4" t="str">
        <f>IFERROR(VLOOKUP(C495,Merchants!$A$2:$D$41,3,FALSE),"Merchant not found")</f>
        <v>food_delivery</v>
      </c>
      <c r="K495" s="4" t="str">
        <f>IFERROR(VLOOKUP(C495,Merchants!$A$2:$D$41,4,FALSE),"Merchant not found")</f>
        <v>East</v>
      </c>
      <c r="L495" s="4">
        <f>IFERROR(HLOOKUP(F495,Fee_Lookup!$B$1:$E$2,2,FALSE),"Fee not found")</f>
        <v>0</v>
      </c>
      <c r="M495" s="5">
        <f t="shared" si="1"/>
        <v>46040</v>
      </c>
      <c r="N495" s="4" t="str">
        <f t="shared" si="2"/>
        <v>21|2026-01-18</v>
      </c>
      <c r="O495" s="4">
        <f>IFERROR(VLOOKUP(N495,Merchant_Daily!$A:$B,2,FALSE),0)</f>
        <v>799</v>
      </c>
      <c r="P495" s="4" t="str">
        <f t="shared" si="3"/>
        <v>Standard Merchant Day</v>
      </c>
    </row>
    <row r="496">
      <c r="A496" s="1" t="s">
        <v>1066</v>
      </c>
      <c r="B496" s="1">
        <v>199.0</v>
      </c>
      <c r="C496" s="1">
        <v>6.0</v>
      </c>
      <c r="D496" s="3">
        <v>46023.393055555556</v>
      </c>
      <c r="E496" s="1">
        <v>49.0</v>
      </c>
      <c r="F496" s="1" t="s">
        <v>35</v>
      </c>
      <c r="G496" s="1" t="s">
        <v>27</v>
      </c>
      <c r="H496" s="1">
        <v>92.0</v>
      </c>
      <c r="I496" s="4" t="str">
        <f>IFERROR(VLOOKUP(C496,Merchants!$A$2:$D$41,2,FALSE),"Merchant not found")</f>
        <v>Merchant_006</v>
      </c>
      <c r="J496" s="4" t="str">
        <f>IFERROR(VLOOKUP(C496,Merchants!$A$2:$D$41,3,FALSE),"Merchant not found")</f>
        <v>food_delivery</v>
      </c>
      <c r="K496" s="4" t="str">
        <f>IFERROR(VLOOKUP(C496,Merchants!$A$2:$D$41,4,FALSE),"Merchant not found")</f>
        <v>South</v>
      </c>
      <c r="L496" s="4">
        <f>IFERROR(HLOOKUP(F496,Fee_Lookup!$B$1:$E$2,2,FALSE),"Fee not found")</f>
        <v>0</v>
      </c>
      <c r="M496" s="5">
        <f t="shared" si="1"/>
        <v>46023</v>
      </c>
      <c r="N496" s="4" t="str">
        <f t="shared" si="2"/>
        <v>6|2026-01-01</v>
      </c>
      <c r="O496" s="4">
        <f>IFERROR(VLOOKUP(N496,Merchant_Daily!$A:$B,2,FALSE),0)</f>
        <v>49</v>
      </c>
      <c r="P496" s="4" t="str">
        <f t="shared" si="3"/>
        <v>Standard Merchant Day</v>
      </c>
    </row>
    <row r="497">
      <c r="A497" s="1" t="s">
        <v>1067</v>
      </c>
      <c r="B497" s="1">
        <v>125.0</v>
      </c>
      <c r="C497" s="1">
        <v>37.0</v>
      </c>
      <c r="D497" s="3">
        <v>46051.74791666667</v>
      </c>
      <c r="E497" s="1">
        <v>149.0</v>
      </c>
      <c r="F497" s="1" t="s">
        <v>26</v>
      </c>
      <c r="G497" s="1" t="s">
        <v>27</v>
      </c>
      <c r="H497" s="1">
        <v>66.0</v>
      </c>
      <c r="I497" s="4" t="str">
        <f>IFERROR(VLOOKUP(C497,Merchants!$A$2:$D$41,2,FALSE),"Merchant not found")</f>
        <v>Merchant_037</v>
      </c>
      <c r="J497" s="4" t="str">
        <f>IFERROR(VLOOKUP(C497,Merchants!$A$2:$D$41,3,FALSE),"Merchant not found")</f>
        <v>entertainment</v>
      </c>
      <c r="K497" s="4" t="str">
        <f>IFERROR(VLOOKUP(C497,Merchants!$A$2:$D$41,4,FALSE),"Merchant not found")</f>
        <v>South</v>
      </c>
      <c r="L497" s="4">
        <f>IFERROR(HLOOKUP(F497,Fee_Lookup!$B$1:$E$2,2,FALSE),"Fee not found")</f>
        <v>0.005</v>
      </c>
      <c r="M497" s="5">
        <f t="shared" si="1"/>
        <v>46051</v>
      </c>
      <c r="N497" s="4" t="str">
        <f t="shared" si="2"/>
        <v>37|2026-01-29</v>
      </c>
      <c r="O497" s="4">
        <f>IFERROR(VLOOKUP(N497,Merchant_Daily!$A:$B,2,FALSE),0)</f>
        <v>149</v>
      </c>
      <c r="P497" s="4" t="str">
        <f t="shared" si="3"/>
        <v>Standard Merchant Day</v>
      </c>
    </row>
    <row r="498">
      <c r="A498" s="1" t="s">
        <v>1068</v>
      </c>
      <c r="B498" s="1">
        <v>87.0</v>
      </c>
      <c r="C498" s="1">
        <v>9.0</v>
      </c>
      <c r="D498" s="3">
        <v>46028.89166666667</v>
      </c>
      <c r="E498" s="1">
        <v>149.0</v>
      </c>
      <c r="F498" s="1" t="s">
        <v>35</v>
      </c>
      <c r="G498" s="1" t="s">
        <v>27</v>
      </c>
      <c r="H498" s="1">
        <v>34.0</v>
      </c>
      <c r="I498" s="4" t="str">
        <f>IFERROR(VLOOKUP(C498,Merchants!$A$2:$D$41,2,FALSE),"Merchant not found")</f>
        <v>Merchant_009</v>
      </c>
      <c r="J498" s="4" t="str">
        <f>IFERROR(VLOOKUP(C498,Merchants!$A$2:$D$41,3,FALSE),"Merchant not found")</f>
        <v>ecommerce</v>
      </c>
      <c r="K498" s="4" t="str">
        <f>IFERROR(VLOOKUP(C498,Merchants!$A$2:$D$41,4,FALSE),"Merchant not found")</f>
        <v>North</v>
      </c>
      <c r="L498" s="4">
        <f>IFERROR(HLOOKUP(F498,Fee_Lookup!$B$1:$E$2,2,FALSE),"Fee not found")</f>
        <v>0</v>
      </c>
      <c r="M498" s="5">
        <f t="shared" si="1"/>
        <v>46028</v>
      </c>
      <c r="N498" s="4" t="str">
        <f t="shared" si="2"/>
        <v>9|2026-01-06</v>
      </c>
      <c r="O498" s="4">
        <f>IFERROR(VLOOKUP(N498,Merchant_Daily!$A:$B,2,FALSE),0)</f>
        <v>149</v>
      </c>
      <c r="P498" s="4" t="str">
        <f t="shared" si="3"/>
        <v>Standard Merchant Day</v>
      </c>
    </row>
    <row r="499">
      <c r="A499" s="1" t="s">
        <v>1069</v>
      </c>
      <c r="B499" s="1">
        <v>75.0</v>
      </c>
      <c r="C499" s="1">
        <v>5.0</v>
      </c>
      <c r="D499" s="3">
        <v>46032.35486111111</v>
      </c>
      <c r="E499" s="1">
        <v>99.0</v>
      </c>
      <c r="F499" s="1" t="s">
        <v>35</v>
      </c>
      <c r="G499" s="1" t="s">
        <v>27</v>
      </c>
      <c r="H499" s="1">
        <v>21.0</v>
      </c>
      <c r="I499" s="4" t="str">
        <f>IFERROR(VLOOKUP(C499,Merchants!$A$2:$D$41,2,FALSE),"Merchant not found")</f>
        <v>Merchant_005</v>
      </c>
      <c r="J499" s="4" t="str">
        <f>IFERROR(VLOOKUP(C499,Merchants!$A$2:$D$41,3,FALSE),"Merchant not found")</f>
        <v>recharge</v>
      </c>
      <c r="K499" s="4" t="str">
        <f>IFERROR(VLOOKUP(C499,Merchants!$A$2:$D$41,4,FALSE),"Merchant not found")</f>
        <v>South</v>
      </c>
      <c r="L499" s="4">
        <f>IFERROR(HLOOKUP(F499,Fee_Lookup!$B$1:$E$2,2,FALSE),"Fee not found")</f>
        <v>0</v>
      </c>
      <c r="M499" s="5">
        <f t="shared" si="1"/>
        <v>46032</v>
      </c>
      <c r="N499" s="4" t="str">
        <f t="shared" si="2"/>
        <v>5|2026-01-10</v>
      </c>
      <c r="O499" s="4">
        <f>IFERROR(VLOOKUP(N499,Merchant_Daily!$A:$B,2,FALSE),0)</f>
        <v>99</v>
      </c>
      <c r="P499" s="4" t="str">
        <f t="shared" si="3"/>
        <v>Standard Merchant Day</v>
      </c>
    </row>
    <row r="500">
      <c r="A500" s="1" t="s">
        <v>1070</v>
      </c>
      <c r="B500" s="1">
        <v>154.0</v>
      </c>
      <c r="C500" s="1">
        <v>31.0</v>
      </c>
      <c r="D500" s="3">
        <v>46036.35138888889</v>
      </c>
      <c r="E500" s="1">
        <v>499.0</v>
      </c>
      <c r="F500" s="1" t="s">
        <v>26</v>
      </c>
      <c r="G500" s="1" t="s">
        <v>27</v>
      </c>
      <c r="H500" s="1">
        <v>100.0</v>
      </c>
      <c r="I500" s="4" t="str">
        <f>IFERROR(VLOOKUP(C500,Merchants!$A$2:$D$41,2,FALSE),"Merchant not found")</f>
        <v>Merchant_031</v>
      </c>
      <c r="J500" s="4" t="str">
        <f>IFERROR(VLOOKUP(C500,Merchants!$A$2:$D$41,3,FALSE),"Merchant not found")</f>
        <v>bill_payment</v>
      </c>
      <c r="K500" s="4" t="str">
        <f>IFERROR(VLOOKUP(C500,Merchants!$A$2:$D$41,4,FALSE),"Merchant not found")</f>
        <v>East</v>
      </c>
      <c r="L500" s="4">
        <f>IFERROR(HLOOKUP(F500,Fee_Lookup!$B$1:$E$2,2,FALSE),"Fee not found")</f>
        <v>0.005</v>
      </c>
      <c r="M500" s="5">
        <f t="shared" si="1"/>
        <v>46036</v>
      </c>
      <c r="N500" s="4" t="str">
        <f t="shared" si="2"/>
        <v>31|2026-01-14</v>
      </c>
      <c r="O500" s="4">
        <f>IFERROR(VLOOKUP(N500,Merchant_Daily!$A:$B,2,FALSE),0)</f>
        <v>499</v>
      </c>
      <c r="P500" s="4" t="str">
        <f t="shared" si="3"/>
        <v>Standard Merchant Day</v>
      </c>
    </row>
    <row r="501">
      <c r="A501" s="1" t="s">
        <v>1071</v>
      </c>
      <c r="B501" s="1">
        <v>127.0</v>
      </c>
      <c r="C501" s="1">
        <v>32.0</v>
      </c>
      <c r="D501" s="3">
        <v>46025.46944444445</v>
      </c>
      <c r="E501" s="1">
        <v>149.0</v>
      </c>
      <c r="F501" s="1" t="s">
        <v>46</v>
      </c>
      <c r="G501" s="1" t="s">
        <v>27</v>
      </c>
      <c r="H501" s="1">
        <v>76.0</v>
      </c>
      <c r="I501" s="4" t="str">
        <f>IFERROR(VLOOKUP(C501,Merchants!$A$2:$D$41,2,FALSE),"Merchant not found")</f>
        <v>Merchant_032</v>
      </c>
      <c r="J501" s="4" t="str">
        <f>IFERROR(VLOOKUP(C501,Merchants!$A$2:$D$41,3,FALSE),"Merchant not found")</f>
        <v>food_delivery</v>
      </c>
      <c r="K501" s="4" t="str">
        <f>IFERROR(VLOOKUP(C501,Merchants!$A$2:$D$41,4,FALSE),"Merchant not found")</f>
        <v>West</v>
      </c>
      <c r="L501" s="4">
        <f>IFERROR(HLOOKUP(F501,Fee_Lookup!$B$1:$E$2,2,FALSE),"Fee not found")</f>
        <v>0.01</v>
      </c>
      <c r="M501" s="5">
        <f t="shared" si="1"/>
        <v>46025</v>
      </c>
      <c r="N501" s="4" t="str">
        <f t="shared" si="2"/>
        <v>32|2026-01-03</v>
      </c>
      <c r="O501" s="4">
        <f>IFERROR(VLOOKUP(N501,Merchant_Daily!$A:$B,2,FALSE),0)</f>
        <v>149</v>
      </c>
      <c r="P501" s="4" t="str">
        <f t="shared" si="3"/>
        <v>Standard Merchant Day</v>
      </c>
    </row>
    <row r="502">
      <c r="A502" s="1" t="s">
        <v>1072</v>
      </c>
      <c r="B502" s="1">
        <v>351.0</v>
      </c>
      <c r="C502" s="1">
        <v>7.0</v>
      </c>
      <c r="D502" s="3">
        <v>46052.25</v>
      </c>
      <c r="E502" s="1">
        <v>1999.0</v>
      </c>
      <c r="F502" s="1" t="s">
        <v>46</v>
      </c>
      <c r="G502" s="1" t="s">
        <v>34</v>
      </c>
      <c r="H502" s="1">
        <v>79.0</v>
      </c>
      <c r="I502" s="4" t="str">
        <f>IFERROR(VLOOKUP(C502,Merchants!$A$2:$D$41,2,FALSE),"Merchant not found")</f>
        <v>Merchant_007</v>
      </c>
      <c r="J502" s="4" t="str">
        <f>IFERROR(VLOOKUP(C502,Merchants!$A$2:$D$41,3,FALSE),"Merchant not found")</f>
        <v>food_delivery</v>
      </c>
      <c r="K502" s="4" t="str">
        <f>IFERROR(VLOOKUP(C502,Merchants!$A$2:$D$41,4,FALSE),"Merchant not found")</f>
        <v>East</v>
      </c>
      <c r="L502" s="4">
        <f>IFERROR(HLOOKUP(F502,Fee_Lookup!$B$1:$E$2,2,FALSE),"Fee not found")</f>
        <v>0.01</v>
      </c>
      <c r="M502" s="5">
        <f t="shared" si="1"/>
        <v>46052</v>
      </c>
      <c r="N502" s="4" t="str">
        <f t="shared" si="2"/>
        <v>7|2026-01-30</v>
      </c>
      <c r="O502" s="4">
        <f>IFERROR(VLOOKUP(N502,Merchant_Daily!$A:$B,2,FALSE),0)</f>
        <v>1999</v>
      </c>
      <c r="P502" s="4" t="str">
        <f t="shared" si="3"/>
        <v>Standard Merchant Day</v>
      </c>
    </row>
    <row r="503">
      <c r="A503" s="1" t="s">
        <v>1073</v>
      </c>
      <c r="B503" s="1">
        <v>352.0</v>
      </c>
      <c r="C503" s="1">
        <v>40.0</v>
      </c>
      <c r="D503" s="3">
        <v>46033.5</v>
      </c>
      <c r="E503" s="1">
        <v>4999.0</v>
      </c>
      <c r="F503" s="1" t="s">
        <v>46</v>
      </c>
      <c r="G503" s="1" t="s">
        <v>34</v>
      </c>
      <c r="H503" s="1">
        <v>95.0</v>
      </c>
      <c r="I503" s="4" t="str">
        <f>IFERROR(VLOOKUP(C503,Merchants!$A$2:$D$41,2,FALSE),"Merchant not found")</f>
        <v>Merchant_040</v>
      </c>
      <c r="J503" s="4" t="str">
        <f>IFERROR(VLOOKUP(C503,Merchants!$A$2:$D$41,3,FALSE),"Merchant not found")</f>
        <v>entertainment</v>
      </c>
      <c r="K503" s="4" t="str">
        <f>IFERROR(VLOOKUP(C503,Merchants!$A$2:$D$41,4,FALSE),"Merchant not found")</f>
        <v>South</v>
      </c>
      <c r="L503" s="4">
        <f>IFERROR(HLOOKUP(F503,Fee_Lookup!$B$1:$E$2,2,FALSE),"Fee not found")</f>
        <v>0.01</v>
      </c>
      <c r="M503" s="5">
        <f t="shared" si="1"/>
        <v>46033</v>
      </c>
      <c r="N503" s="4" t="str">
        <f t="shared" si="2"/>
        <v>40|2026-01-11</v>
      </c>
      <c r="O503" s="4">
        <f>IFERROR(VLOOKUP(N503,Merchant_Daily!$A:$B,2,FALSE),0)</f>
        <v>4999</v>
      </c>
      <c r="P503" s="4" t="str">
        <f t="shared" si="3"/>
        <v>Standard Merchant Day</v>
      </c>
    </row>
    <row r="504">
      <c r="A504" s="1" t="s">
        <v>1074</v>
      </c>
      <c r="B504" s="1">
        <v>353.0</v>
      </c>
      <c r="C504" s="1">
        <v>28.0</v>
      </c>
      <c r="D504" s="3">
        <v>46043.583333333336</v>
      </c>
      <c r="E504" s="1">
        <v>1999.0</v>
      </c>
      <c r="F504" s="1" t="s">
        <v>46</v>
      </c>
      <c r="G504" s="1" t="s">
        <v>34</v>
      </c>
      <c r="H504" s="1">
        <v>79.0</v>
      </c>
      <c r="I504" s="4" t="str">
        <f>IFERROR(VLOOKUP(C504,Merchants!$A$2:$D$41,2,FALSE),"Merchant not found")</f>
        <v>Merchant_028</v>
      </c>
      <c r="J504" s="4" t="str">
        <f>IFERROR(VLOOKUP(C504,Merchants!$A$2:$D$41,3,FALSE),"Merchant not found")</f>
        <v>ecommerce</v>
      </c>
      <c r="K504" s="4" t="str">
        <f>IFERROR(VLOOKUP(C504,Merchants!$A$2:$D$41,4,FALSE),"Merchant not found")</f>
        <v>South</v>
      </c>
      <c r="L504" s="4">
        <f>IFERROR(HLOOKUP(F504,Fee_Lookup!$B$1:$E$2,2,FALSE),"Fee not found")</f>
        <v>0.01</v>
      </c>
      <c r="M504" s="5">
        <f t="shared" si="1"/>
        <v>46043</v>
      </c>
      <c r="N504" s="4" t="str">
        <f t="shared" si="2"/>
        <v>28|2026-01-21</v>
      </c>
      <c r="O504" s="4">
        <f>IFERROR(VLOOKUP(N504,Merchant_Daily!$A:$B,2,FALSE),0)</f>
        <v>1999</v>
      </c>
      <c r="P504" s="4" t="str">
        <f t="shared" si="3"/>
        <v>Standard Merchant Day</v>
      </c>
    </row>
    <row r="505">
      <c r="A505" s="1" t="s">
        <v>1075</v>
      </c>
      <c r="B505" s="1">
        <v>354.0</v>
      </c>
      <c r="C505" s="1">
        <v>13.0</v>
      </c>
      <c r="D505" s="3">
        <v>46043.791666666664</v>
      </c>
      <c r="E505" s="1">
        <v>4999.0</v>
      </c>
      <c r="F505" s="1" t="s">
        <v>46</v>
      </c>
      <c r="G505" s="1" t="s">
        <v>34</v>
      </c>
      <c r="H505" s="1">
        <v>80.0</v>
      </c>
      <c r="I505" s="4" t="str">
        <f>IFERROR(VLOOKUP(C505,Merchants!$A$2:$D$41,2,FALSE),"Merchant not found")</f>
        <v>Merchant_013</v>
      </c>
      <c r="J505" s="4" t="str">
        <f>IFERROR(VLOOKUP(C505,Merchants!$A$2:$D$41,3,FALSE),"Merchant not found")</f>
        <v>travel</v>
      </c>
      <c r="K505" s="4" t="str">
        <f>IFERROR(VLOOKUP(C505,Merchants!$A$2:$D$41,4,FALSE),"Merchant not found")</f>
        <v>East</v>
      </c>
      <c r="L505" s="4">
        <f>IFERROR(HLOOKUP(F505,Fee_Lookup!$B$1:$E$2,2,FALSE),"Fee not found")</f>
        <v>0.01</v>
      </c>
      <c r="M505" s="5">
        <f t="shared" si="1"/>
        <v>46043</v>
      </c>
      <c r="N505" s="4" t="str">
        <f t="shared" si="2"/>
        <v>13|2026-01-21</v>
      </c>
      <c r="O505" s="4">
        <f>IFERROR(VLOOKUP(N505,Merchant_Daily!$A:$B,2,FALSE),0)</f>
        <v>4999</v>
      </c>
      <c r="P505" s="4" t="str">
        <f t="shared" si="3"/>
        <v>Standard Merchant Day</v>
      </c>
    </row>
    <row r="506">
      <c r="A506" s="1" t="s">
        <v>1076</v>
      </c>
      <c r="B506" s="1">
        <v>355.0</v>
      </c>
      <c r="C506" s="1">
        <v>19.0</v>
      </c>
      <c r="D506" s="3">
        <v>46038.5</v>
      </c>
      <c r="E506" s="1">
        <v>4999.0</v>
      </c>
      <c r="F506" s="1" t="s">
        <v>46</v>
      </c>
      <c r="G506" s="1" t="s">
        <v>34</v>
      </c>
      <c r="H506" s="1">
        <v>100.0</v>
      </c>
      <c r="I506" s="4" t="str">
        <f>IFERROR(VLOOKUP(C506,Merchants!$A$2:$D$41,2,FALSE),"Merchant not found")</f>
        <v>Merchant_019</v>
      </c>
      <c r="J506" s="4" t="str">
        <f>IFERROR(VLOOKUP(C506,Merchants!$A$2:$D$41,3,FALSE),"Merchant not found")</f>
        <v>grocery</v>
      </c>
      <c r="K506" s="4" t="str">
        <f>IFERROR(VLOOKUP(C506,Merchants!$A$2:$D$41,4,FALSE),"Merchant not found")</f>
        <v>North</v>
      </c>
      <c r="L506" s="4">
        <f>IFERROR(HLOOKUP(F506,Fee_Lookup!$B$1:$E$2,2,FALSE),"Fee not found")</f>
        <v>0.01</v>
      </c>
      <c r="M506" s="5">
        <f t="shared" si="1"/>
        <v>46038</v>
      </c>
      <c r="N506" s="4" t="str">
        <f t="shared" si="2"/>
        <v>19|2026-01-16</v>
      </c>
      <c r="O506" s="4">
        <f>IFERROR(VLOOKUP(N506,Merchant_Daily!$A:$B,2,FALSE),0)</f>
        <v>4999</v>
      </c>
      <c r="P506" s="4" t="str">
        <f t="shared" si="3"/>
        <v>Standard Merchant Day</v>
      </c>
    </row>
    <row r="507">
      <c r="A507" s="1" t="s">
        <v>1077</v>
      </c>
      <c r="B507" s="1">
        <v>356.0</v>
      </c>
      <c r="C507" s="1">
        <v>25.0</v>
      </c>
      <c r="D507" s="3">
        <v>46051.291666666664</v>
      </c>
      <c r="E507" s="1">
        <v>2999.0</v>
      </c>
      <c r="F507" s="1" t="s">
        <v>46</v>
      </c>
      <c r="G507" s="1" t="s">
        <v>34</v>
      </c>
      <c r="H507" s="1">
        <v>96.0</v>
      </c>
      <c r="I507" s="4" t="str">
        <f>IFERROR(VLOOKUP(C507,Merchants!$A$2:$D$41,2,FALSE),"Merchant not found")</f>
        <v>Merchant_025</v>
      </c>
      <c r="J507" s="4" t="str">
        <f>IFERROR(VLOOKUP(C507,Merchants!$A$2:$D$41,3,FALSE),"Merchant not found")</f>
        <v>travel</v>
      </c>
      <c r="K507" s="4" t="str">
        <f>IFERROR(VLOOKUP(C507,Merchants!$A$2:$D$41,4,FALSE),"Merchant not found")</f>
        <v>South</v>
      </c>
      <c r="L507" s="4">
        <f>IFERROR(HLOOKUP(F507,Fee_Lookup!$B$1:$E$2,2,FALSE),"Fee not found")</f>
        <v>0.01</v>
      </c>
      <c r="M507" s="5">
        <f t="shared" si="1"/>
        <v>46051</v>
      </c>
      <c r="N507" s="4" t="str">
        <f t="shared" si="2"/>
        <v>25|2026-01-29</v>
      </c>
      <c r="O507" s="4">
        <f>IFERROR(VLOOKUP(N507,Merchant_Daily!$A:$B,2,FALSE),0)</f>
        <v>3048</v>
      </c>
      <c r="P507" s="4" t="str">
        <f t="shared" si="3"/>
        <v>Standard Merchant Day</v>
      </c>
    </row>
    <row r="508">
      <c r="A508" s="1" t="s">
        <v>1078</v>
      </c>
      <c r="B508" s="1">
        <v>357.0</v>
      </c>
      <c r="C508" s="1">
        <v>37.0</v>
      </c>
      <c r="D508" s="3">
        <v>46045.458333333336</v>
      </c>
      <c r="E508" s="1">
        <v>1999.0</v>
      </c>
      <c r="F508" s="1" t="s">
        <v>46</v>
      </c>
      <c r="G508" s="1" t="s">
        <v>34</v>
      </c>
      <c r="H508" s="1">
        <v>88.0</v>
      </c>
      <c r="I508" s="4" t="str">
        <f>IFERROR(VLOOKUP(C508,Merchants!$A$2:$D$41,2,FALSE),"Merchant not found")</f>
        <v>Merchant_037</v>
      </c>
      <c r="J508" s="4" t="str">
        <f>IFERROR(VLOOKUP(C508,Merchants!$A$2:$D$41,3,FALSE),"Merchant not found")</f>
        <v>entertainment</v>
      </c>
      <c r="K508" s="4" t="str">
        <f>IFERROR(VLOOKUP(C508,Merchants!$A$2:$D$41,4,FALSE),"Merchant not found")</f>
        <v>South</v>
      </c>
      <c r="L508" s="4">
        <f>IFERROR(HLOOKUP(F508,Fee_Lookup!$B$1:$E$2,2,FALSE),"Fee not found")</f>
        <v>0.01</v>
      </c>
      <c r="M508" s="5">
        <f t="shared" si="1"/>
        <v>46045</v>
      </c>
      <c r="N508" s="4" t="str">
        <f t="shared" si="2"/>
        <v>37|2026-01-23</v>
      </c>
      <c r="O508" s="4">
        <f>IFERROR(VLOOKUP(N508,Merchant_Daily!$A:$B,2,FALSE),0)</f>
        <v>1999</v>
      </c>
      <c r="P508" s="4" t="str">
        <f t="shared" si="3"/>
        <v>Standard Merchant Day</v>
      </c>
    </row>
    <row r="509">
      <c r="A509" s="1" t="s">
        <v>1079</v>
      </c>
      <c r="B509" s="1">
        <v>358.0</v>
      </c>
      <c r="C509" s="1">
        <v>36.0</v>
      </c>
      <c r="D509" s="3">
        <v>46050.208333333336</v>
      </c>
      <c r="E509" s="1">
        <v>999.0</v>
      </c>
      <c r="F509" s="1" t="s">
        <v>46</v>
      </c>
      <c r="G509" s="1" t="s">
        <v>34</v>
      </c>
      <c r="H509" s="1">
        <v>100.0</v>
      </c>
      <c r="I509" s="4" t="str">
        <f>IFERROR(VLOOKUP(C509,Merchants!$A$2:$D$41,2,FALSE),"Merchant not found")</f>
        <v>Merchant_036</v>
      </c>
      <c r="J509" s="4" t="str">
        <f>IFERROR(VLOOKUP(C509,Merchants!$A$2:$D$41,3,FALSE),"Merchant not found")</f>
        <v>entertainment</v>
      </c>
      <c r="K509" s="4" t="str">
        <f>IFERROR(VLOOKUP(C509,Merchants!$A$2:$D$41,4,FALSE),"Merchant not found")</f>
        <v>East</v>
      </c>
      <c r="L509" s="4">
        <f>IFERROR(HLOOKUP(F509,Fee_Lookup!$B$1:$E$2,2,FALSE),"Fee not found")</f>
        <v>0.01</v>
      </c>
      <c r="M509" s="5">
        <f t="shared" si="1"/>
        <v>46050</v>
      </c>
      <c r="N509" s="4" t="str">
        <f t="shared" si="2"/>
        <v>36|2026-01-28</v>
      </c>
      <c r="O509" s="4">
        <f>IFERROR(VLOOKUP(N509,Merchant_Daily!$A:$B,2,FALSE),0)</f>
        <v>999</v>
      </c>
      <c r="P509" s="4" t="str">
        <f t="shared" si="3"/>
        <v>Standard Merchant Day</v>
      </c>
    </row>
    <row r="510">
      <c r="A510" s="1" t="s">
        <v>1080</v>
      </c>
      <c r="B510" s="1">
        <v>359.0</v>
      </c>
      <c r="C510" s="1">
        <v>29.0</v>
      </c>
      <c r="D510" s="3">
        <v>46047.916666666664</v>
      </c>
      <c r="E510" s="1">
        <v>2999.0</v>
      </c>
      <c r="F510" s="1" t="s">
        <v>46</v>
      </c>
      <c r="G510" s="1" t="s">
        <v>34</v>
      </c>
      <c r="H510" s="1">
        <v>96.0</v>
      </c>
      <c r="I510" s="4" t="str">
        <f>IFERROR(VLOOKUP(C510,Merchants!$A$2:$D$41,2,FALSE),"Merchant not found")</f>
        <v>Merchant_029</v>
      </c>
      <c r="J510" s="4" t="str">
        <f>IFERROR(VLOOKUP(C510,Merchants!$A$2:$D$41,3,FALSE),"Merchant not found")</f>
        <v>ecommerce</v>
      </c>
      <c r="K510" s="4" t="str">
        <f>IFERROR(VLOOKUP(C510,Merchants!$A$2:$D$41,4,FALSE),"Merchant not found")</f>
        <v>North</v>
      </c>
      <c r="L510" s="4">
        <f>IFERROR(HLOOKUP(F510,Fee_Lookup!$B$1:$E$2,2,FALSE),"Fee not found")</f>
        <v>0.01</v>
      </c>
      <c r="M510" s="5">
        <f t="shared" si="1"/>
        <v>46047</v>
      </c>
      <c r="N510" s="4" t="str">
        <f t="shared" si="2"/>
        <v>29|2026-01-25</v>
      </c>
      <c r="O510" s="4">
        <f>IFERROR(VLOOKUP(N510,Merchant_Daily!$A:$B,2,FALSE),0)</f>
        <v>3896</v>
      </c>
      <c r="P510" s="4" t="str">
        <f t="shared" si="3"/>
        <v>Standard Merchant Day</v>
      </c>
    </row>
    <row r="511">
      <c r="A511" s="1" t="s">
        <v>1081</v>
      </c>
      <c r="B511" s="1">
        <v>360.0</v>
      </c>
      <c r="C511" s="1">
        <v>32.0</v>
      </c>
      <c r="D511" s="3">
        <v>46035.541666666664</v>
      </c>
      <c r="E511" s="1">
        <v>1999.0</v>
      </c>
      <c r="F511" s="1" t="s">
        <v>46</v>
      </c>
      <c r="G511" s="1" t="s">
        <v>34</v>
      </c>
      <c r="H511" s="1">
        <v>90.0</v>
      </c>
      <c r="I511" s="4" t="str">
        <f>IFERROR(VLOOKUP(C511,Merchants!$A$2:$D$41,2,FALSE),"Merchant not found")</f>
        <v>Merchant_032</v>
      </c>
      <c r="J511" s="4" t="str">
        <f>IFERROR(VLOOKUP(C511,Merchants!$A$2:$D$41,3,FALSE),"Merchant not found")</f>
        <v>food_delivery</v>
      </c>
      <c r="K511" s="4" t="str">
        <f>IFERROR(VLOOKUP(C511,Merchants!$A$2:$D$41,4,FALSE),"Merchant not found")</f>
        <v>West</v>
      </c>
      <c r="L511" s="4">
        <f>IFERROR(HLOOKUP(F511,Fee_Lookup!$B$1:$E$2,2,FALSE),"Fee not found")</f>
        <v>0.01</v>
      </c>
      <c r="M511" s="5">
        <f t="shared" si="1"/>
        <v>46035</v>
      </c>
      <c r="N511" s="4" t="str">
        <f t="shared" si="2"/>
        <v>32|2026-01-13</v>
      </c>
      <c r="O511" s="4">
        <f>IFERROR(VLOOKUP(N511,Merchant_Daily!$A:$B,2,FALSE),0)</f>
        <v>1999</v>
      </c>
      <c r="P511" s="4" t="str">
        <f t="shared" si="3"/>
        <v>Standard Merchant Day</v>
      </c>
    </row>
    <row r="512">
      <c r="A512" s="1" t="s">
        <v>1082</v>
      </c>
      <c r="B512" s="1">
        <v>361.0</v>
      </c>
      <c r="C512" s="1">
        <v>10.0</v>
      </c>
      <c r="D512" s="3">
        <v>46042.291666666664</v>
      </c>
      <c r="E512" s="1">
        <v>4999.0</v>
      </c>
      <c r="F512" s="1" t="s">
        <v>46</v>
      </c>
      <c r="G512" s="1" t="s">
        <v>34</v>
      </c>
      <c r="H512" s="1">
        <v>95.0</v>
      </c>
      <c r="I512" s="4" t="str">
        <f>IFERROR(VLOOKUP(C512,Merchants!$A$2:$D$41,2,FALSE),"Merchant not found")</f>
        <v>Merchant_010</v>
      </c>
      <c r="J512" s="4" t="str">
        <f>IFERROR(VLOOKUP(C512,Merchants!$A$2:$D$41,3,FALSE),"Merchant not found")</f>
        <v>grocery</v>
      </c>
      <c r="K512" s="4" t="str">
        <f>IFERROR(VLOOKUP(C512,Merchants!$A$2:$D$41,4,FALSE),"Merchant not found")</f>
        <v>West</v>
      </c>
      <c r="L512" s="4">
        <f>IFERROR(HLOOKUP(F512,Fee_Lookup!$B$1:$E$2,2,FALSE),"Fee not found")</f>
        <v>0.01</v>
      </c>
      <c r="M512" s="5">
        <f t="shared" si="1"/>
        <v>46042</v>
      </c>
      <c r="N512" s="4" t="str">
        <f t="shared" si="2"/>
        <v>10|2026-01-20</v>
      </c>
      <c r="O512" s="4">
        <f>IFERROR(VLOOKUP(N512,Merchant_Daily!$A:$B,2,FALSE),0)</f>
        <v>4999</v>
      </c>
      <c r="P512" s="4" t="str">
        <f t="shared" si="3"/>
        <v>Standard Merchant Day</v>
      </c>
    </row>
    <row r="513">
      <c r="A513" s="1" t="s">
        <v>1083</v>
      </c>
      <c r="B513" s="1">
        <v>362.0</v>
      </c>
      <c r="C513" s="1">
        <v>39.0</v>
      </c>
      <c r="D513" s="3">
        <v>46045.083333333336</v>
      </c>
      <c r="E513" s="1">
        <v>4999.0</v>
      </c>
      <c r="F513" s="1" t="s">
        <v>46</v>
      </c>
      <c r="G513" s="1" t="s">
        <v>34</v>
      </c>
      <c r="H513" s="1">
        <v>88.0</v>
      </c>
      <c r="I513" s="4" t="str">
        <f>IFERROR(VLOOKUP(C513,Merchants!$A$2:$D$41,2,FALSE),"Merchant not found")</f>
        <v>Merchant_039</v>
      </c>
      <c r="J513" s="4" t="str">
        <f>IFERROR(VLOOKUP(C513,Merchants!$A$2:$D$41,3,FALSE),"Merchant not found")</f>
        <v>entertainment</v>
      </c>
      <c r="K513" s="4" t="str">
        <f>IFERROR(VLOOKUP(C513,Merchants!$A$2:$D$41,4,FALSE),"Merchant not found")</f>
        <v>North</v>
      </c>
      <c r="L513" s="4">
        <f>IFERROR(HLOOKUP(F513,Fee_Lookup!$B$1:$E$2,2,FALSE),"Fee not found")</f>
        <v>0.01</v>
      </c>
      <c r="M513" s="5">
        <f t="shared" si="1"/>
        <v>46045</v>
      </c>
      <c r="N513" s="4" t="str">
        <f t="shared" si="2"/>
        <v>39|2026-01-23</v>
      </c>
      <c r="O513" s="4">
        <f>IFERROR(VLOOKUP(N513,Merchant_Daily!$A:$B,2,FALSE),0)</f>
        <v>4999</v>
      </c>
      <c r="P513" s="4" t="str">
        <f t="shared" si="3"/>
        <v>Standard Merchant Day</v>
      </c>
    </row>
    <row r="514">
      <c r="A514" s="1" t="s">
        <v>1084</v>
      </c>
      <c r="B514" s="1">
        <v>363.0</v>
      </c>
      <c r="C514" s="1">
        <v>27.0</v>
      </c>
      <c r="D514" s="3">
        <v>46045.708333333336</v>
      </c>
      <c r="E514" s="1">
        <v>999.0</v>
      </c>
      <c r="F514" s="1" t="s">
        <v>46</v>
      </c>
      <c r="G514" s="1" t="s">
        <v>34</v>
      </c>
      <c r="H514" s="1">
        <v>95.0</v>
      </c>
      <c r="I514" s="4" t="str">
        <f>IFERROR(VLOOKUP(C514,Merchants!$A$2:$D$41,2,FALSE),"Merchant not found")</f>
        <v>Merchant_027</v>
      </c>
      <c r="J514" s="4" t="str">
        <f>IFERROR(VLOOKUP(C514,Merchants!$A$2:$D$41,3,FALSE),"Merchant not found")</f>
        <v>ecommerce</v>
      </c>
      <c r="K514" s="4" t="str">
        <f>IFERROR(VLOOKUP(C514,Merchants!$A$2:$D$41,4,FALSE),"Merchant not found")</f>
        <v>North</v>
      </c>
      <c r="L514" s="4">
        <f>IFERROR(HLOOKUP(F514,Fee_Lookup!$B$1:$E$2,2,FALSE),"Fee not found")</f>
        <v>0.01</v>
      </c>
      <c r="M514" s="5">
        <f t="shared" si="1"/>
        <v>46045</v>
      </c>
      <c r="N514" s="4" t="str">
        <f t="shared" si="2"/>
        <v>27|2026-01-23</v>
      </c>
      <c r="O514" s="4">
        <f>IFERROR(VLOOKUP(N514,Merchant_Daily!$A:$B,2,FALSE),0)</f>
        <v>3998</v>
      </c>
      <c r="P514" s="4" t="str">
        <f t="shared" si="3"/>
        <v>Standard Merchant Day</v>
      </c>
    </row>
    <row r="515">
      <c r="A515" s="1" t="s">
        <v>1085</v>
      </c>
      <c r="B515" s="1">
        <v>364.0</v>
      </c>
      <c r="C515" s="1">
        <v>39.0</v>
      </c>
      <c r="D515" s="3">
        <v>46044.916666666664</v>
      </c>
      <c r="E515" s="1">
        <v>999.0</v>
      </c>
      <c r="F515" s="1" t="s">
        <v>46</v>
      </c>
      <c r="G515" s="1" t="s">
        <v>34</v>
      </c>
      <c r="H515" s="1">
        <v>73.0</v>
      </c>
      <c r="I515" s="4" t="str">
        <f>IFERROR(VLOOKUP(C515,Merchants!$A$2:$D$41,2,FALSE),"Merchant not found")</f>
        <v>Merchant_039</v>
      </c>
      <c r="J515" s="4" t="str">
        <f>IFERROR(VLOOKUP(C515,Merchants!$A$2:$D$41,3,FALSE),"Merchant not found")</f>
        <v>entertainment</v>
      </c>
      <c r="K515" s="4" t="str">
        <f>IFERROR(VLOOKUP(C515,Merchants!$A$2:$D$41,4,FALSE),"Merchant not found")</f>
        <v>North</v>
      </c>
      <c r="L515" s="4">
        <f>IFERROR(HLOOKUP(F515,Fee_Lookup!$B$1:$E$2,2,FALSE),"Fee not found")</f>
        <v>0.01</v>
      </c>
      <c r="M515" s="5">
        <f t="shared" si="1"/>
        <v>46044</v>
      </c>
      <c r="N515" s="4" t="str">
        <f t="shared" si="2"/>
        <v>39|2026-01-22</v>
      </c>
      <c r="O515" s="4">
        <f>IFERROR(VLOOKUP(N515,Merchant_Daily!$A:$B,2,FALSE),0)</f>
        <v>9796</v>
      </c>
      <c r="P515" s="4" t="str">
        <f t="shared" si="3"/>
        <v>High-Value Merchant Day</v>
      </c>
    </row>
    <row r="516">
      <c r="A516" s="1" t="s">
        <v>1086</v>
      </c>
      <c r="B516" s="1">
        <v>365.0</v>
      </c>
      <c r="C516" s="1">
        <v>23.0</v>
      </c>
      <c r="D516" s="3">
        <v>46040.875</v>
      </c>
      <c r="E516" s="1">
        <v>1999.0</v>
      </c>
      <c r="F516" s="1" t="s">
        <v>46</v>
      </c>
      <c r="G516" s="1" t="s">
        <v>34</v>
      </c>
      <c r="H516" s="1">
        <v>90.0</v>
      </c>
      <c r="I516" s="4" t="str">
        <f>IFERROR(VLOOKUP(C516,Merchants!$A$2:$D$41,2,FALSE),"Merchant not found")</f>
        <v>Merchant_023</v>
      </c>
      <c r="J516" s="4" t="str">
        <f>IFERROR(VLOOKUP(C516,Merchants!$A$2:$D$41,3,FALSE),"Merchant not found")</f>
        <v>travel</v>
      </c>
      <c r="K516" s="4" t="str">
        <f>IFERROR(VLOOKUP(C516,Merchants!$A$2:$D$41,4,FALSE),"Merchant not found")</f>
        <v>North</v>
      </c>
      <c r="L516" s="4">
        <f>IFERROR(HLOOKUP(F516,Fee_Lookup!$B$1:$E$2,2,FALSE),"Fee not found")</f>
        <v>0.01</v>
      </c>
      <c r="M516" s="5">
        <f t="shared" si="1"/>
        <v>46040</v>
      </c>
      <c r="N516" s="4" t="str">
        <f t="shared" si="2"/>
        <v>23|2026-01-18</v>
      </c>
      <c r="O516" s="4">
        <f>IFERROR(VLOOKUP(N516,Merchant_Daily!$A:$B,2,FALSE),0)</f>
        <v>1999</v>
      </c>
      <c r="P516" s="4" t="str">
        <f t="shared" si="3"/>
        <v>Standard Merchant Day</v>
      </c>
    </row>
    <row r="517">
      <c r="A517" s="1" t="s">
        <v>1087</v>
      </c>
      <c r="B517" s="1">
        <v>314.0</v>
      </c>
      <c r="C517" s="1">
        <v>26.0</v>
      </c>
      <c r="D517" s="3">
        <v>46024.75</v>
      </c>
      <c r="E517" s="1">
        <v>399.0</v>
      </c>
      <c r="F517" s="1" t="s">
        <v>46</v>
      </c>
      <c r="G517" s="1" t="s">
        <v>30</v>
      </c>
      <c r="H517" s="1">
        <v>87.0</v>
      </c>
      <c r="I517" s="4" t="str">
        <f>IFERROR(VLOOKUP(C517,Merchants!$A$2:$D$41,2,FALSE),"Merchant not found")</f>
        <v>Merchant_026</v>
      </c>
      <c r="J517" s="4" t="str">
        <f>IFERROR(VLOOKUP(C517,Merchants!$A$2:$D$41,3,FALSE),"Merchant not found")</f>
        <v>food_delivery</v>
      </c>
      <c r="K517" s="4" t="str">
        <f>IFERROR(VLOOKUP(C517,Merchants!$A$2:$D$41,4,FALSE),"Merchant not found")</f>
        <v>East</v>
      </c>
      <c r="L517" s="4">
        <f>IFERROR(HLOOKUP(F517,Fee_Lookup!$B$1:$E$2,2,FALSE),"Fee not found")</f>
        <v>0.01</v>
      </c>
      <c r="M517" s="5">
        <f t="shared" si="1"/>
        <v>46024</v>
      </c>
      <c r="N517" s="4" t="str">
        <f t="shared" si="2"/>
        <v>26|2026-01-02</v>
      </c>
      <c r="O517" s="4">
        <f>IFERROR(VLOOKUP(N517,Merchant_Daily!$A:$B,2,FALSE),0)</f>
        <v>399</v>
      </c>
      <c r="P517" s="4" t="str">
        <f t="shared" si="3"/>
        <v>Standard Merchant Day</v>
      </c>
    </row>
    <row r="518">
      <c r="A518" s="1" t="s">
        <v>1088</v>
      </c>
      <c r="B518" s="1">
        <v>314.0</v>
      </c>
      <c r="C518" s="1">
        <v>7.0</v>
      </c>
      <c r="D518" s="3">
        <v>46024.75069444445</v>
      </c>
      <c r="E518" s="1">
        <v>299.0</v>
      </c>
      <c r="F518" s="1" t="s">
        <v>46</v>
      </c>
      <c r="G518" s="1" t="s">
        <v>30</v>
      </c>
      <c r="H518" s="1">
        <v>66.0</v>
      </c>
      <c r="I518" s="4" t="str">
        <f>IFERROR(VLOOKUP(C518,Merchants!$A$2:$D$41,2,FALSE),"Merchant not found")</f>
        <v>Merchant_007</v>
      </c>
      <c r="J518" s="4" t="str">
        <f>IFERROR(VLOOKUP(C518,Merchants!$A$2:$D$41,3,FALSE),"Merchant not found")</f>
        <v>food_delivery</v>
      </c>
      <c r="K518" s="4" t="str">
        <f>IFERROR(VLOOKUP(C518,Merchants!$A$2:$D$41,4,FALSE),"Merchant not found")</f>
        <v>East</v>
      </c>
      <c r="L518" s="4">
        <f>IFERROR(HLOOKUP(F518,Fee_Lookup!$B$1:$E$2,2,FALSE),"Fee not found")</f>
        <v>0.01</v>
      </c>
      <c r="M518" s="5">
        <f t="shared" si="1"/>
        <v>46024</v>
      </c>
      <c r="N518" s="4" t="str">
        <f t="shared" si="2"/>
        <v>7|2026-01-02</v>
      </c>
      <c r="O518" s="4">
        <f>IFERROR(VLOOKUP(N518,Merchant_Daily!$A:$B,2,FALSE),0)</f>
        <v>3797</v>
      </c>
      <c r="P518" s="4" t="str">
        <f t="shared" si="3"/>
        <v>Standard Merchant Day</v>
      </c>
    </row>
    <row r="519">
      <c r="A519" s="1" t="s">
        <v>1089</v>
      </c>
      <c r="B519" s="1">
        <v>314.0</v>
      </c>
      <c r="C519" s="1">
        <v>17.0</v>
      </c>
      <c r="D519" s="3">
        <v>46024.751388888886</v>
      </c>
      <c r="E519" s="1">
        <v>299.0</v>
      </c>
      <c r="F519" s="1" t="s">
        <v>46</v>
      </c>
      <c r="G519" s="1" t="s">
        <v>30</v>
      </c>
      <c r="H519" s="1">
        <v>92.0</v>
      </c>
      <c r="I519" s="4" t="str">
        <f>IFERROR(VLOOKUP(C519,Merchants!$A$2:$D$41,2,FALSE),"Merchant not found")</f>
        <v>Merchant_017</v>
      </c>
      <c r="J519" s="4" t="str">
        <f>IFERROR(VLOOKUP(C519,Merchants!$A$2:$D$41,3,FALSE),"Merchant not found")</f>
        <v>grocery</v>
      </c>
      <c r="K519" s="4" t="str">
        <f>IFERROR(VLOOKUP(C519,Merchants!$A$2:$D$41,4,FALSE),"Merchant not found")</f>
        <v>North</v>
      </c>
      <c r="L519" s="4">
        <f>IFERROR(HLOOKUP(F519,Fee_Lookup!$B$1:$E$2,2,FALSE),"Fee not found")</f>
        <v>0.01</v>
      </c>
      <c r="M519" s="5">
        <f t="shared" si="1"/>
        <v>46024</v>
      </c>
      <c r="N519" s="4" t="str">
        <f t="shared" si="2"/>
        <v>17|2026-01-02</v>
      </c>
      <c r="O519" s="4">
        <f>IFERROR(VLOOKUP(N519,Merchant_Daily!$A:$B,2,FALSE),0)</f>
        <v>299</v>
      </c>
      <c r="P519" s="4" t="str">
        <f t="shared" si="3"/>
        <v>Standard Merchant Day</v>
      </c>
    </row>
    <row r="520">
      <c r="A520" s="1" t="s">
        <v>1090</v>
      </c>
      <c r="B520" s="1">
        <v>314.0</v>
      </c>
      <c r="C520" s="1">
        <v>34.0</v>
      </c>
      <c r="D520" s="3">
        <v>46024.75208333333</v>
      </c>
      <c r="E520" s="1">
        <v>499.0</v>
      </c>
      <c r="F520" s="1" t="s">
        <v>46</v>
      </c>
      <c r="G520" s="1" t="s">
        <v>27</v>
      </c>
      <c r="H520" s="1">
        <v>74.0</v>
      </c>
      <c r="I520" s="4" t="str">
        <f>IFERROR(VLOOKUP(C520,Merchants!$A$2:$D$41,2,FALSE),"Merchant not found")</f>
        <v>Merchant_034</v>
      </c>
      <c r="J520" s="4" t="str">
        <f>IFERROR(VLOOKUP(C520,Merchants!$A$2:$D$41,3,FALSE),"Merchant not found")</f>
        <v>travel</v>
      </c>
      <c r="K520" s="4" t="str">
        <f>IFERROR(VLOOKUP(C520,Merchants!$A$2:$D$41,4,FALSE),"Merchant not found")</f>
        <v>South</v>
      </c>
      <c r="L520" s="4">
        <f>IFERROR(HLOOKUP(F520,Fee_Lookup!$B$1:$E$2,2,FALSE),"Fee not found")</f>
        <v>0.01</v>
      </c>
      <c r="M520" s="5">
        <f t="shared" si="1"/>
        <v>46024</v>
      </c>
      <c r="N520" s="4" t="str">
        <f t="shared" si="2"/>
        <v>34|2026-01-02</v>
      </c>
      <c r="O520" s="4">
        <f>IFERROR(VLOOKUP(N520,Merchant_Daily!$A:$B,2,FALSE),0)</f>
        <v>548</v>
      </c>
      <c r="P520" s="4" t="str">
        <f t="shared" si="3"/>
        <v>Standard Merchant Day</v>
      </c>
    </row>
    <row r="521">
      <c r="A521" s="1" t="s">
        <v>1091</v>
      </c>
      <c r="B521" s="1">
        <v>229.0</v>
      </c>
      <c r="C521" s="1">
        <v>30.0</v>
      </c>
      <c r="D521" s="3">
        <v>46034.5</v>
      </c>
      <c r="E521" s="1">
        <v>499.0</v>
      </c>
      <c r="F521" s="1" t="s">
        <v>46</v>
      </c>
      <c r="G521" s="1" t="s">
        <v>30</v>
      </c>
      <c r="H521" s="1">
        <v>92.0</v>
      </c>
      <c r="I521" s="4" t="str">
        <f>IFERROR(VLOOKUP(C521,Merchants!$A$2:$D$41,2,FALSE),"Merchant not found")</f>
        <v>Merchant_030</v>
      </c>
      <c r="J521" s="4" t="str">
        <f>IFERROR(VLOOKUP(C521,Merchants!$A$2:$D$41,3,FALSE),"Merchant not found")</f>
        <v>travel</v>
      </c>
      <c r="K521" s="4" t="str">
        <f>IFERROR(VLOOKUP(C521,Merchants!$A$2:$D$41,4,FALSE),"Merchant not found")</f>
        <v>West</v>
      </c>
      <c r="L521" s="4">
        <f>IFERROR(HLOOKUP(F521,Fee_Lookup!$B$1:$E$2,2,FALSE),"Fee not found")</f>
        <v>0.01</v>
      </c>
      <c r="M521" s="5">
        <f t="shared" si="1"/>
        <v>46034</v>
      </c>
      <c r="N521" s="4" t="str">
        <f t="shared" si="2"/>
        <v>30|2026-01-12</v>
      </c>
      <c r="O521" s="4">
        <f>IFERROR(VLOOKUP(N521,Merchant_Daily!$A:$B,2,FALSE),0)</f>
        <v>499</v>
      </c>
      <c r="P521" s="4" t="str">
        <f t="shared" si="3"/>
        <v>Standard Merchant Day</v>
      </c>
    </row>
    <row r="522">
      <c r="A522" s="1" t="s">
        <v>1092</v>
      </c>
      <c r="B522" s="1">
        <v>229.0</v>
      </c>
      <c r="C522" s="1">
        <v>10.0</v>
      </c>
      <c r="D522" s="3">
        <v>46034.50069444445</v>
      </c>
      <c r="E522" s="1">
        <v>399.0</v>
      </c>
      <c r="F522" s="1" t="s">
        <v>46</v>
      </c>
      <c r="G522" s="1" t="s">
        <v>30</v>
      </c>
      <c r="H522" s="1">
        <v>61.0</v>
      </c>
      <c r="I522" s="4" t="str">
        <f>IFERROR(VLOOKUP(C522,Merchants!$A$2:$D$41,2,FALSE),"Merchant not found")</f>
        <v>Merchant_010</v>
      </c>
      <c r="J522" s="4" t="str">
        <f>IFERROR(VLOOKUP(C522,Merchants!$A$2:$D$41,3,FALSE),"Merchant not found")</f>
        <v>grocery</v>
      </c>
      <c r="K522" s="4" t="str">
        <f>IFERROR(VLOOKUP(C522,Merchants!$A$2:$D$41,4,FALSE),"Merchant not found")</f>
        <v>West</v>
      </c>
      <c r="L522" s="4">
        <f>IFERROR(HLOOKUP(F522,Fee_Lookup!$B$1:$E$2,2,FALSE),"Fee not found")</f>
        <v>0.01</v>
      </c>
      <c r="M522" s="5">
        <f t="shared" si="1"/>
        <v>46034</v>
      </c>
      <c r="N522" s="4" t="str">
        <f t="shared" si="2"/>
        <v>10|2026-01-12</v>
      </c>
      <c r="O522" s="4">
        <f>IFERROR(VLOOKUP(N522,Merchant_Daily!$A:$B,2,FALSE),0)</f>
        <v>399</v>
      </c>
      <c r="P522" s="4" t="str">
        <f t="shared" si="3"/>
        <v>Standard Merchant Day</v>
      </c>
    </row>
    <row r="523">
      <c r="A523" s="1" t="s">
        <v>1093</v>
      </c>
      <c r="B523" s="1">
        <v>229.0</v>
      </c>
      <c r="C523" s="1">
        <v>31.0</v>
      </c>
      <c r="D523" s="3">
        <v>46034.501388888886</v>
      </c>
      <c r="E523" s="1">
        <v>299.0</v>
      </c>
      <c r="F523" s="1" t="s">
        <v>46</v>
      </c>
      <c r="G523" s="1" t="s">
        <v>30</v>
      </c>
      <c r="H523" s="1">
        <v>78.0</v>
      </c>
      <c r="I523" s="4" t="str">
        <f>IFERROR(VLOOKUP(C523,Merchants!$A$2:$D$41,2,FALSE),"Merchant not found")</f>
        <v>Merchant_031</v>
      </c>
      <c r="J523" s="4" t="str">
        <f>IFERROR(VLOOKUP(C523,Merchants!$A$2:$D$41,3,FALSE),"Merchant not found")</f>
        <v>bill_payment</v>
      </c>
      <c r="K523" s="4" t="str">
        <f>IFERROR(VLOOKUP(C523,Merchants!$A$2:$D$41,4,FALSE),"Merchant not found")</f>
        <v>East</v>
      </c>
      <c r="L523" s="4">
        <f>IFERROR(HLOOKUP(F523,Fee_Lookup!$B$1:$E$2,2,FALSE),"Fee not found")</f>
        <v>0.01</v>
      </c>
      <c r="M523" s="5">
        <f t="shared" si="1"/>
        <v>46034</v>
      </c>
      <c r="N523" s="4" t="str">
        <f t="shared" si="2"/>
        <v>31|2026-01-12</v>
      </c>
      <c r="O523" s="4">
        <f>IFERROR(VLOOKUP(N523,Merchant_Daily!$A:$B,2,FALSE),0)</f>
        <v>598</v>
      </c>
      <c r="P523" s="4" t="str">
        <f t="shared" si="3"/>
        <v>Standard Merchant Day</v>
      </c>
    </row>
    <row r="524">
      <c r="A524" s="1" t="s">
        <v>1094</v>
      </c>
      <c r="B524" s="1">
        <v>229.0</v>
      </c>
      <c r="C524" s="1">
        <v>27.0</v>
      </c>
      <c r="D524" s="3">
        <v>46034.50208333333</v>
      </c>
      <c r="E524" s="1">
        <v>299.0</v>
      </c>
      <c r="F524" s="1" t="s">
        <v>46</v>
      </c>
      <c r="G524" s="1" t="s">
        <v>27</v>
      </c>
      <c r="H524" s="1">
        <v>67.0</v>
      </c>
      <c r="I524" s="4" t="str">
        <f>IFERROR(VLOOKUP(C524,Merchants!$A$2:$D$41,2,FALSE),"Merchant not found")</f>
        <v>Merchant_027</v>
      </c>
      <c r="J524" s="4" t="str">
        <f>IFERROR(VLOOKUP(C524,Merchants!$A$2:$D$41,3,FALSE),"Merchant not found")</f>
        <v>ecommerce</v>
      </c>
      <c r="K524" s="4" t="str">
        <f>IFERROR(VLOOKUP(C524,Merchants!$A$2:$D$41,4,FALSE),"Merchant not found")</f>
        <v>North</v>
      </c>
      <c r="L524" s="4">
        <f>IFERROR(HLOOKUP(F524,Fee_Lookup!$B$1:$E$2,2,FALSE),"Fee not found")</f>
        <v>0.01</v>
      </c>
      <c r="M524" s="5">
        <f t="shared" si="1"/>
        <v>46034</v>
      </c>
      <c r="N524" s="4" t="str">
        <f t="shared" si="2"/>
        <v>27|2026-01-12</v>
      </c>
      <c r="O524" s="4">
        <f>IFERROR(VLOOKUP(N524,Merchant_Daily!$A:$B,2,FALSE),0)</f>
        <v>299</v>
      </c>
      <c r="P524" s="4" t="str">
        <f t="shared" si="3"/>
        <v>Standard Merchant Day</v>
      </c>
    </row>
    <row r="525">
      <c r="A525" s="1" t="s">
        <v>1095</v>
      </c>
      <c r="B525" s="1">
        <v>73.0</v>
      </c>
      <c r="C525" s="1">
        <v>22.0</v>
      </c>
      <c r="D525" s="3">
        <v>46034.375</v>
      </c>
      <c r="E525" s="1">
        <v>399.0</v>
      </c>
      <c r="F525" s="1" t="s">
        <v>46</v>
      </c>
      <c r="G525" s="1" t="s">
        <v>30</v>
      </c>
      <c r="H525" s="1">
        <v>73.0</v>
      </c>
      <c r="I525" s="4" t="str">
        <f>IFERROR(VLOOKUP(C525,Merchants!$A$2:$D$41,2,FALSE),"Merchant not found")</f>
        <v>Merchant_022</v>
      </c>
      <c r="J525" s="4" t="str">
        <f>IFERROR(VLOOKUP(C525,Merchants!$A$2:$D$41,3,FALSE),"Merchant not found")</f>
        <v>travel</v>
      </c>
      <c r="K525" s="4" t="str">
        <f>IFERROR(VLOOKUP(C525,Merchants!$A$2:$D$41,4,FALSE),"Merchant not found")</f>
        <v>South</v>
      </c>
      <c r="L525" s="4">
        <f>IFERROR(HLOOKUP(F525,Fee_Lookup!$B$1:$E$2,2,FALSE),"Fee not found")</f>
        <v>0.01</v>
      </c>
      <c r="M525" s="5">
        <f t="shared" si="1"/>
        <v>46034</v>
      </c>
      <c r="N525" s="4" t="str">
        <f t="shared" si="2"/>
        <v>22|2026-01-12</v>
      </c>
      <c r="O525" s="4">
        <f>IFERROR(VLOOKUP(N525,Merchant_Daily!$A:$B,2,FALSE),0)</f>
        <v>1697</v>
      </c>
      <c r="P525" s="4" t="str">
        <f t="shared" si="3"/>
        <v>Standard Merchant Day</v>
      </c>
    </row>
    <row r="526">
      <c r="A526" s="1" t="s">
        <v>1096</v>
      </c>
      <c r="B526" s="1">
        <v>73.0</v>
      </c>
      <c r="C526" s="1">
        <v>34.0</v>
      </c>
      <c r="D526" s="3">
        <v>46034.37569444445</v>
      </c>
      <c r="E526" s="1">
        <v>399.0</v>
      </c>
      <c r="F526" s="1" t="s">
        <v>46</v>
      </c>
      <c r="G526" s="1" t="s">
        <v>30</v>
      </c>
      <c r="H526" s="1">
        <v>82.0</v>
      </c>
      <c r="I526" s="4" t="str">
        <f>IFERROR(VLOOKUP(C526,Merchants!$A$2:$D$41,2,FALSE),"Merchant not found")</f>
        <v>Merchant_034</v>
      </c>
      <c r="J526" s="4" t="str">
        <f>IFERROR(VLOOKUP(C526,Merchants!$A$2:$D$41,3,FALSE),"Merchant not found")</f>
        <v>travel</v>
      </c>
      <c r="K526" s="4" t="str">
        <f>IFERROR(VLOOKUP(C526,Merchants!$A$2:$D$41,4,FALSE),"Merchant not found")</f>
        <v>South</v>
      </c>
      <c r="L526" s="4">
        <f>IFERROR(HLOOKUP(F526,Fee_Lookup!$B$1:$E$2,2,FALSE),"Fee not found")</f>
        <v>0.01</v>
      </c>
      <c r="M526" s="5">
        <f t="shared" si="1"/>
        <v>46034</v>
      </c>
      <c r="N526" s="4" t="str">
        <f t="shared" si="2"/>
        <v>34|2026-01-12</v>
      </c>
      <c r="O526" s="4">
        <f>IFERROR(VLOOKUP(N526,Merchant_Daily!$A:$B,2,FALSE),0)</f>
        <v>399</v>
      </c>
      <c r="P526" s="4" t="str">
        <f t="shared" si="3"/>
        <v>Standard Merchant Day</v>
      </c>
    </row>
    <row r="527">
      <c r="A527" s="1" t="s">
        <v>1097</v>
      </c>
      <c r="B527" s="1">
        <v>73.0</v>
      </c>
      <c r="C527" s="1">
        <v>31.0</v>
      </c>
      <c r="D527" s="3">
        <v>46034.376388888886</v>
      </c>
      <c r="E527" s="1">
        <v>299.0</v>
      </c>
      <c r="F527" s="1" t="s">
        <v>46</v>
      </c>
      <c r="G527" s="1" t="s">
        <v>30</v>
      </c>
      <c r="H527" s="1">
        <v>88.0</v>
      </c>
      <c r="I527" s="4" t="str">
        <f>IFERROR(VLOOKUP(C527,Merchants!$A$2:$D$41,2,FALSE),"Merchant not found")</f>
        <v>Merchant_031</v>
      </c>
      <c r="J527" s="4" t="str">
        <f>IFERROR(VLOOKUP(C527,Merchants!$A$2:$D$41,3,FALSE),"Merchant not found")</f>
        <v>bill_payment</v>
      </c>
      <c r="K527" s="4" t="str">
        <f>IFERROR(VLOOKUP(C527,Merchants!$A$2:$D$41,4,FALSE),"Merchant not found")</f>
        <v>East</v>
      </c>
      <c r="L527" s="4">
        <f>IFERROR(HLOOKUP(F527,Fee_Lookup!$B$1:$E$2,2,FALSE),"Fee not found")</f>
        <v>0.01</v>
      </c>
      <c r="M527" s="5">
        <f t="shared" si="1"/>
        <v>46034</v>
      </c>
      <c r="N527" s="4" t="str">
        <f t="shared" si="2"/>
        <v>31|2026-01-12</v>
      </c>
      <c r="O527" s="4">
        <f>IFERROR(VLOOKUP(N527,Merchant_Daily!$A:$B,2,FALSE),0)</f>
        <v>598</v>
      </c>
      <c r="P527" s="4" t="str">
        <f t="shared" si="3"/>
        <v>Standard Merchant Day</v>
      </c>
    </row>
    <row r="528">
      <c r="A528" s="1" t="s">
        <v>1098</v>
      </c>
      <c r="B528" s="1">
        <v>73.0</v>
      </c>
      <c r="C528" s="1">
        <v>29.0</v>
      </c>
      <c r="D528" s="3">
        <v>46034.37708333333</v>
      </c>
      <c r="E528" s="1">
        <v>399.0</v>
      </c>
      <c r="F528" s="1" t="s">
        <v>46</v>
      </c>
      <c r="G528" s="1" t="s">
        <v>27</v>
      </c>
      <c r="H528" s="1">
        <v>64.0</v>
      </c>
      <c r="I528" s="4" t="str">
        <f>IFERROR(VLOOKUP(C528,Merchants!$A$2:$D$41,2,FALSE),"Merchant not found")</f>
        <v>Merchant_029</v>
      </c>
      <c r="J528" s="4" t="str">
        <f>IFERROR(VLOOKUP(C528,Merchants!$A$2:$D$41,3,FALSE),"Merchant not found")</f>
        <v>ecommerce</v>
      </c>
      <c r="K528" s="4" t="str">
        <f>IFERROR(VLOOKUP(C528,Merchants!$A$2:$D$41,4,FALSE),"Merchant not found")</f>
        <v>North</v>
      </c>
      <c r="L528" s="4">
        <f>IFERROR(HLOOKUP(F528,Fee_Lookup!$B$1:$E$2,2,FALSE),"Fee not found")</f>
        <v>0.01</v>
      </c>
      <c r="M528" s="5">
        <f t="shared" si="1"/>
        <v>46034</v>
      </c>
      <c r="N528" s="4" t="str">
        <f t="shared" si="2"/>
        <v>29|2026-01-12</v>
      </c>
      <c r="O528" s="4">
        <f>IFERROR(VLOOKUP(N528,Merchant_Daily!$A:$B,2,FALSE),0)</f>
        <v>399</v>
      </c>
      <c r="P528" s="4" t="str">
        <f t="shared" si="3"/>
        <v>Standard Merchant Day</v>
      </c>
    </row>
    <row r="529">
      <c r="A529" s="1" t="s">
        <v>1099</v>
      </c>
      <c r="B529" s="1">
        <v>154.0</v>
      </c>
      <c r="C529" s="1">
        <v>8.0</v>
      </c>
      <c r="D529" s="3">
        <v>46024.916666666664</v>
      </c>
      <c r="E529" s="1">
        <v>299.0</v>
      </c>
      <c r="F529" s="1" t="s">
        <v>46</v>
      </c>
      <c r="G529" s="1" t="s">
        <v>30</v>
      </c>
      <c r="H529" s="1">
        <v>81.0</v>
      </c>
      <c r="I529" s="4" t="str">
        <f>IFERROR(VLOOKUP(C529,Merchants!$A$2:$D$41,2,FALSE),"Merchant not found")</f>
        <v>Merchant_008</v>
      </c>
      <c r="J529" s="4" t="str">
        <f>IFERROR(VLOOKUP(C529,Merchants!$A$2:$D$41,3,FALSE),"Merchant not found")</f>
        <v>food_delivery</v>
      </c>
      <c r="K529" s="4" t="str">
        <f>IFERROR(VLOOKUP(C529,Merchants!$A$2:$D$41,4,FALSE),"Merchant not found")</f>
        <v>North</v>
      </c>
      <c r="L529" s="4">
        <f>IFERROR(HLOOKUP(F529,Fee_Lookup!$B$1:$E$2,2,FALSE),"Fee not found")</f>
        <v>0.01</v>
      </c>
      <c r="M529" s="5">
        <f t="shared" si="1"/>
        <v>46024</v>
      </c>
      <c r="N529" s="4" t="str">
        <f t="shared" si="2"/>
        <v>8|2026-01-02</v>
      </c>
      <c r="O529" s="4">
        <f>IFERROR(VLOOKUP(N529,Merchant_Daily!$A:$B,2,FALSE),0)</f>
        <v>299</v>
      </c>
      <c r="P529" s="4" t="str">
        <f t="shared" si="3"/>
        <v>Standard Merchant Day</v>
      </c>
    </row>
    <row r="530">
      <c r="A530" s="1" t="s">
        <v>1100</v>
      </c>
      <c r="B530" s="1">
        <v>154.0</v>
      </c>
      <c r="C530" s="1">
        <v>7.0</v>
      </c>
      <c r="D530" s="3">
        <v>46024.91736111111</v>
      </c>
      <c r="E530" s="1">
        <v>499.0</v>
      </c>
      <c r="F530" s="1" t="s">
        <v>46</v>
      </c>
      <c r="G530" s="1" t="s">
        <v>30</v>
      </c>
      <c r="H530" s="1">
        <v>70.0</v>
      </c>
      <c r="I530" s="4" t="str">
        <f>IFERROR(VLOOKUP(C530,Merchants!$A$2:$D$41,2,FALSE),"Merchant not found")</f>
        <v>Merchant_007</v>
      </c>
      <c r="J530" s="4" t="str">
        <f>IFERROR(VLOOKUP(C530,Merchants!$A$2:$D$41,3,FALSE),"Merchant not found")</f>
        <v>food_delivery</v>
      </c>
      <c r="K530" s="4" t="str">
        <f>IFERROR(VLOOKUP(C530,Merchants!$A$2:$D$41,4,FALSE),"Merchant not found")</f>
        <v>East</v>
      </c>
      <c r="L530" s="4">
        <f>IFERROR(HLOOKUP(F530,Fee_Lookup!$B$1:$E$2,2,FALSE),"Fee not found")</f>
        <v>0.01</v>
      </c>
      <c r="M530" s="5">
        <f t="shared" si="1"/>
        <v>46024</v>
      </c>
      <c r="N530" s="4" t="str">
        <f t="shared" si="2"/>
        <v>7|2026-01-02</v>
      </c>
      <c r="O530" s="4">
        <f>IFERROR(VLOOKUP(N530,Merchant_Daily!$A:$B,2,FALSE),0)</f>
        <v>3797</v>
      </c>
      <c r="P530" s="4" t="str">
        <f t="shared" si="3"/>
        <v>Standard Merchant Day</v>
      </c>
    </row>
    <row r="531">
      <c r="A531" s="1" t="s">
        <v>1101</v>
      </c>
      <c r="B531" s="1">
        <v>154.0</v>
      </c>
      <c r="C531" s="1">
        <v>16.0</v>
      </c>
      <c r="D531" s="3">
        <v>46024.91805555556</v>
      </c>
      <c r="E531" s="1">
        <v>499.0</v>
      </c>
      <c r="F531" s="1" t="s">
        <v>46</v>
      </c>
      <c r="G531" s="1" t="s">
        <v>30</v>
      </c>
      <c r="H531" s="1">
        <v>71.0</v>
      </c>
      <c r="I531" s="4" t="str">
        <f>IFERROR(VLOOKUP(C531,Merchants!$A$2:$D$41,2,FALSE),"Merchant not found")</f>
        <v>Merchant_016</v>
      </c>
      <c r="J531" s="4" t="str">
        <f>IFERROR(VLOOKUP(C531,Merchants!$A$2:$D$41,3,FALSE),"Merchant not found")</f>
        <v>bill_payment</v>
      </c>
      <c r="K531" s="4" t="str">
        <f>IFERROR(VLOOKUP(C531,Merchants!$A$2:$D$41,4,FALSE),"Merchant not found")</f>
        <v>West</v>
      </c>
      <c r="L531" s="4">
        <f>IFERROR(HLOOKUP(F531,Fee_Lookup!$B$1:$E$2,2,FALSE),"Fee not found")</f>
        <v>0.01</v>
      </c>
      <c r="M531" s="5">
        <f t="shared" si="1"/>
        <v>46024</v>
      </c>
      <c r="N531" s="4" t="str">
        <f t="shared" si="2"/>
        <v>16|2026-01-02</v>
      </c>
      <c r="O531" s="4">
        <f>IFERROR(VLOOKUP(N531,Merchant_Daily!$A:$B,2,FALSE),0)</f>
        <v>499</v>
      </c>
      <c r="P531" s="4" t="str">
        <f t="shared" si="3"/>
        <v>Standard Merchant Day</v>
      </c>
    </row>
    <row r="532">
      <c r="A532" s="1" t="s">
        <v>1102</v>
      </c>
      <c r="B532" s="1">
        <v>154.0</v>
      </c>
      <c r="C532" s="1">
        <v>36.0</v>
      </c>
      <c r="D532" s="3">
        <v>46024.91875</v>
      </c>
      <c r="E532" s="1">
        <v>299.0</v>
      </c>
      <c r="F532" s="1" t="s">
        <v>46</v>
      </c>
      <c r="G532" s="1" t="s">
        <v>27</v>
      </c>
      <c r="H532" s="1">
        <v>81.0</v>
      </c>
      <c r="I532" s="4" t="str">
        <f>IFERROR(VLOOKUP(C532,Merchants!$A$2:$D$41,2,FALSE),"Merchant not found")</f>
        <v>Merchant_036</v>
      </c>
      <c r="J532" s="4" t="str">
        <f>IFERROR(VLOOKUP(C532,Merchants!$A$2:$D$41,3,FALSE),"Merchant not found")</f>
        <v>entertainment</v>
      </c>
      <c r="K532" s="4" t="str">
        <f>IFERROR(VLOOKUP(C532,Merchants!$A$2:$D$41,4,FALSE),"Merchant not found")</f>
        <v>East</v>
      </c>
      <c r="L532" s="4">
        <f>IFERROR(HLOOKUP(F532,Fee_Lookup!$B$1:$E$2,2,FALSE),"Fee not found")</f>
        <v>0.01</v>
      </c>
      <c r="M532" s="5">
        <f t="shared" si="1"/>
        <v>46024</v>
      </c>
      <c r="N532" s="4" t="str">
        <f t="shared" si="2"/>
        <v>36|2026-01-02</v>
      </c>
      <c r="O532" s="4">
        <f>IFERROR(VLOOKUP(N532,Merchant_Daily!$A:$B,2,FALSE),0)</f>
        <v>299</v>
      </c>
      <c r="P532" s="4" t="str">
        <f t="shared" si="3"/>
        <v>Standard Merchant Day</v>
      </c>
    </row>
    <row r="533">
      <c r="A533" s="1" t="s">
        <v>1103</v>
      </c>
      <c r="B533" s="1">
        <v>287.0</v>
      </c>
      <c r="C533" s="1">
        <v>15.0</v>
      </c>
      <c r="D533" s="3">
        <v>46036.583333333336</v>
      </c>
      <c r="E533" s="1">
        <v>399.0</v>
      </c>
      <c r="F533" s="1" t="s">
        <v>46</v>
      </c>
      <c r="G533" s="1" t="s">
        <v>30</v>
      </c>
      <c r="H533" s="1">
        <v>71.0</v>
      </c>
      <c r="I533" s="4" t="str">
        <f>IFERROR(VLOOKUP(C533,Merchants!$A$2:$D$41,2,FALSE),"Merchant not found")</f>
        <v>Merchant_015</v>
      </c>
      <c r="J533" s="4" t="str">
        <f>IFERROR(VLOOKUP(C533,Merchants!$A$2:$D$41,3,FALSE),"Merchant not found")</f>
        <v>travel</v>
      </c>
      <c r="K533" s="4" t="str">
        <f>IFERROR(VLOOKUP(C533,Merchants!$A$2:$D$41,4,FALSE),"Merchant not found")</f>
        <v>North</v>
      </c>
      <c r="L533" s="4">
        <f>IFERROR(HLOOKUP(F533,Fee_Lookup!$B$1:$E$2,2,FALSE),"Fee not found")</f>
        <v>0.01</v>
      </c>
      <c r="M533" s="5">
        <f t="shared" si="1"/>
        <v>46036</v>
      </c>
      <c r="N533" s="4" t="str">
        <f t="shared" si="2"/>
        <v>15|2026-01-14</v>
      </c>
      <c r="O533" s="4">
        <f>IFERROR(VLOOKUP(N533,Merchant_Daily!$A:$B,2,FALSE),0)</f>
        <v>399</v>
      </c>
      <c r="P533" s="4" t="str">
        <f t="shared" si="3"/>
        <v>Standard Merchant Day</v>
      </c>
    </row>
    <row r="534">
      <c r="A534" s="1" t="s">
        <v>1104</v>
      </c>
      <c r="B534" s="1">
        <v>287.0</v>
      </c>
      <c r="C534" s="1">
        <v>12.0</v>
      </c>
      <c r="D534" s="3">
        <v>46036.584027777775</v>
      </c>
      <c r="E534" s="1">
        <v>499.0</v>
      </c>
      <c r="F534" s="1" t="s">
        <v>46</v>
      </c>
      <c r="G534" s="1" t="s">
        <v>30</v>
      </c>
      <c r="H534" s="1">
        <v>87.0</v>
      </c>
      <c r="I534" s="4" t="str">
        <f>IFERROR(VLOOKUP(C534,Merchants!$A$2:$D$41,2,FALSE),"Merchant not found")</f>
        <v>Merchant_012</v>
      </c>
      <c r="J534" s="4" t="str">
        <f>IFERROR(VLOOKUP(C534,Merchants!$A$2:$D$41,3,FALSE),"Merchant not found")</f>
        <v>ecommerce</v>
      </c>
      <c r="K534" s="4" t="str">
        <f>IFERROR(VLOOKUP(C534,Merchants!$A$2:$D$41,4,FALSE),"Merchant not found")</f>
        <v>East</v>
      </c>
      <c r="L534" s="4">
        <f>IFERROR(HLOOKUP(F534,Fee_Lookup!$B$1:$E$2,2,FALSE),"Fee not found")</f>
        <v>0.01</v>
      </c>
      <c r="M534" s="5">
        <f t="shared" si="1"/>
        <v>46036</v>
      </c>
      <c r="N534" s="4" t="str">
        <f t="shared" si="2"/>
        <v>12|2026-01-14</v>
      </c>
      <c r="O534" s="4">
        <f>IFERROR(VLOOKUP(N534,Merchant_Daily!$A:$B,2,FALSE),0)</f>
        <v>548</v>
      </c>
      <c r="P534" s="4" t="str">
        <f t="shared" si="3"/>
        <v>Standard Merchant Day</v>
      </c>
    </row>
    <row r="535">
      <c r="A535" s="1" t="s">
        <v>1105</v>
      </c>
      <c r="B535" s="1">
        <v>287.0</v>
      </c>
      <c r="C535" s="1">
        <v>26.0</v>
      </c>
      <c r="D535" s="3">
        <v>46036.58472222222</v>
      </c>
      <c r="E535" s="1">
        <v>299.0</v>
      </c>
      <c r="F535" s="1" t="s">
        <v>46</v>
      </c>
      <c r="G535" s="1" t="s">
        <v>30</v>
      </c>
      <c r="H535" s="1">
        <v>72.0</v>
      </c>
      <c r="I535" s="4" t="str">
        <f>IFERROR(VLOOKUP(C535,Merchants!$A$2:$D$41,2,FALSE),"Merchant not found")</f>
        <v>Merchant_026</v>
      </c>
      <c r="J535" s="4" t="str">
        <f>IFERROR(VLOOKUP(C535,Merchants!$A$2:$D$41,3,FALSE),"Merchant not found")</f>
        <v>food_delivery</v>
      </c>
      <c r="K535" s="4" t="str">
        <f>IFERROR(VLOOKUP(C535,Merchants!$A$2:$D$41,4,FALSE),"Merchant not found")</f>
        <v>East</v>
      </c>
      <c r="L535" s="4">
        <f>IFERROR(HLOOKUP(F535,Fee_Lookup!$B$1:$E$2,2,FALSE),"Fee not found")</f>
        <v>0.01</v>
      </c>
      <c r="M535" s="5">
        <f t="shared" si="1"/>
        <v>46036</v>
      </c>
      <c r="N535" s="4" t="str">
        <f t="shared" si="2"/>
        <v>26|2026-01-14</v>
      </c>
      <c r="O535" s="4">
        <f>IFERROR(VLOOKUP(N535,Merchant_Daily!$A:$B,2,FALSE),0)</f>
        <v>299</v>
      </c>
      <c r="P535" s="4" t="str">
        <f t="shared" si="3"/>
        <v>Standard Merchant Day</v>
      </c>
    </row>
    <row r="536">
      <c r="A536" s="1" t="s">
        <v>1106</v>
      </c>
      <c r="B536" s="1">
        <v>287.0</v>
      </c>
      <c r="C536" s="1">
        <v>29.0</v>
      </c>
      <c r="D536" s="3">
        <v>46036.58541666667</v>
      </c>
      <c r="E536" s="1">
        <v>499.0</v>
      </c>
      <c r="F536" s="1" t="s">
        <v>46</v>
      </c>
      <c r="G536" s="1" t="s">
        <v>27</v>
      </c>
      <c r="H536" s="1">
        <v>87.0</v>
      </c>
      <c r="I536" s="4" t="str">
        <f>IFERROR(VLOOKUP(C536,Merchants!$A$2:$D$41,2,FALSE),"Merchant not found")</f>
        <v>Merchant_029</v>
      </c>
      <c r="J536" s="4" t="str">
        <f>IFERROR(VLOOKUP(C536,Merchants!$A$2:$D$41,3,FALSE),"Merchant not found")</f>
        <v>ecommerce</v>
      </c>
      <c r="K536" s="4" t="str">
        <f>IFERROR(VLOOKUP(C536,Merchants!$A$2:$D$41,4,FALSE),"Merchant not found")</f>
        <v>North</v>
      </c>
      <c r="L536" s="4">
        <f>IFERROR(HLOOKUP(F536,Fee_Lookup!$B$1:$E$2,2,FALSE),"Fee not found")</f>
        <v>0.01</v>
      </c>
      <c r="M536" s="5">
        <f t="shared" si="1"/>
        <v>46036</v>
      </c>
      <c r="N536" s="4" t="str">
        <f t="shared" si="2"/>
        <v>29|2026-01-14</v>
      </c>
      <c r="O536" s="4">
        <f>IFERROR(VLOOKUP(N536,Merchant_Daily!$A:$B,2,FALSE),0)</f>
        <v>1998</v>
      </c>
      <c r="P536" s="4" t="str">
        <f t="shared" si="3"/>
        <v>Standard Merchant Day</v>
      </c>
    </row>
    <row r="537">
      <c r="A537" s="1" t="s">
        <v>1107</v>
      </c>
      <c r="B537" s="1">
        <v>200.0</v>
      </c>
      <c r="C537" s="1">
        <v>14.0</v>
      </c>
      <c r="D537" s="3">
        <v>46023.916666666664</v>
      </c>
      <c r="E537" s="1">
        <v>299.0</v>
      </c>
      <c r="F537" s="1" t="s">
        <v>46</v>
      </c>
      <c r="G537" s="1" t="s">
        <v>30</v>
      </c>
      <c r="H537" s="1">
        <v>77.0</v>
      </c>
      <c r="I537" s="4" t="str">
        <f>IFERROR(VLOOKUP(C537,Merchants!$A$2:$D$41,2,FALSE),"Merchant not found")</f>
        <v>Merchant_014</v>
      </c>
      <c r="J537" s="4" t="str">
        <f>IFERROR(VLOOKUP(C537,Merchants!$A$2:$D$41,3,FALSE),"Merchant not found")</f>
        <v>grocery</v>
      </c>
      <c r="K537" s="4" t="str">
        <f>IFERROR(VLOOKUP(C537,Merchants!$A$2:$D$41,4,FALSE),"Merchant not found")</f>
        <v>East</v>
      </c>
      <c r="L537" s="4">
        <f>IFERROR(HLOOKUP(F537,Fee_Lookup!$B$1:$E$2,2,FALSE),"Fee not found")</f>
        <v>0.01</v>
      </c>
      <c r="M537" s="5">
        <f t="shared" si="1"/>
        <v>46023</v>
      </c>
      <c r="N537" s="4" t="str">
        <f t="shared" si="2"/>
        <v>14|2026-01-01</v>
      </c>
      <c r="O537" s="4">
        <f>IFERROR(VLOOKUP(N537,Merchant_Daily!$A:$B,2,FALSE),0)</f>
        <v>299</v>
      </c>
      <c r="P537" s="4" t="str">
        <f t="shared" si="3"/>
        <v>Standard Merchant Day</v>
      </c>
    </row>
    <row r="538">
      <c r="A538" s="1" t="s">
        <v>1108</v>
      </c>
      <c r="B538" s="1">
        <v>200.0</v>
      </c>
      <c r="C538" s="1">
        <v>5.0</v>
      </c>
      <c r="D538" s="3">
        <v>46023.91736111111</v>
      </c>
      <c r="E538" s="1">
        <v>499.0</v>
      </c>
      <c r="F538" s="1" t="s">
        <v>46</v>
      </c>
      <c r="G538" s="1" t="s">
        <v>30</v>
      </c>
      <c r="H538" s="1">
        <v>66.0</v>
      </c>
      <c r="I538" s="4" t="str">
        <f>IFERROR(VLOOKUP(C538,Merchants!$A$2:$D$41,2,FALSE),"Merchant not found")</f>
        <v>Merchant_005</v>
      </c>
      <c r="J538" s="4" t="str">
        <f>IFERROR(VLOOKUP(C538,Merchants!$A$2:$D$41,3,FALSE),"Merchant not found")</f>
        <v>recharge</v>
      </c>
      <c r="K538" s="4" t="str">
        <f>IFERROR(VLOOKUP(C538,Merchants!$A$2:$D$41,4,FALSE),"Merchant not found")</f>
        <v>South</v>
      </c>
      <c r="L538" s="4">
        <f>IFERROR(HLOOKUP(F538,Fee_Lookup!$B$1:$E$2,2,FALSE),"Fee not found")</f>
        <v>0.01</v>
      </c>
      <c r="M538" s="5">
        <f t="shared" si="1"/>
        <v>46023</v>
      </c>
      <c r="N538" s="4" t="str">
        <f t="shared" si="2"/>
        <v>5|2026-01-01</v>
      </c>
      <c r="O538" s="4">
        <f>IFERROR(VLOOKUP(N538,Merchant_Daily!$A:$B,2,FALSE),0)</f>
        <v>499</v>
      </c>
      <c r="P538" s="4" t="str">
        <f t="shared" si="3"/>
        <v>Standard Merchant Day</v>
      </c>
    </row>
    <row r="539">
      <c r="A539" s="1" t="s">
        <v>1109</v>
      </c>
      <c r="B539" s="1">
        <v>200.0</v>
      </c>
      <c r="C539" s="1">
        <v>35.0</v>
      </c>
      <c r="D539" s="3">
        <v>46023.91805555556</v>
      </c>
      <c r="E539" s="1">
        <v>299.0</v>
      </c>
      <c r="F539" s="1" t="s">
        <v>46</v>
      </c>
      <c r="G539" s="1" t="s">
        <v>30</v>
      </c>
      <c r="H539" s="1">
        <v>83.0</v>
      </c>
      <c r="I539" s="4" t="str">
        <f>IFERROR(VLOOKUP(C539,Merchants!$A$2:$D$41,2,FALSE),"Merchant not found")</f>
        <v>Merchant_035</v>
      </c>
      <c r="J539" s="4" t="str">
        <f>IFERROR(VLOOKUP(C539,Merchants!$A$2:$D$41,3,FALSE),"Merchant not found")</f>
        <v>recharge</v>
      </c>
      <c r="K539" s="4" t="str">
        <f>IFERROR(VLOOKUP(C539,Merchants!$A$2:$D$41,4,FALSE),"Merchant not found")</f>
        <v>East</v>
      </c>
      <c r="L539" s="4">
        <f>IFERROR(HLOOKUP(F539,Fee_Lookup!$B$1:$E$2,2,FALSE),"Fee not found")</f>
        <v>0.01</v>
      </c>
      <c r="M539" s="5">
        <f t="shared" si="1"/>
        <v>46023</v>
      </c>
      <c r="N539" s="4" t="str">
        <f t="shared" si="2"/>
        <v>35|2026-01-01</v>
      </c>
      <c r="O539" s="4">
        <f>IFERROR(VLOOKUP(N539,Merchant_Daily!$A:$B,2,FALSE),0)</f>
        <v>798</v>
      </c>
      <c r="P539" s="4" t="str">
        <f t="shared" si="3"/>
        <v>Standard Merchant Day</v>
      </c>
    </row>
    <row r="540">
      <c r="A540" s="1" t="s">
        <v>1110</v>
      </c>
      <c r="B540" s="1">
        <v>200.0</v>
      </c>
      <c r="C540" s="1">
        <v>21.0</v>
      </c>
      <c r="D540" s="3">
        <v>46023.91875</v>
      </c>
      <c r="E540" s="1">
        <v>299.0</v>
      </c>
      <c r="F540" s="1" t="s">
        <v>46</v>
      </c>
      <c r="G540" s="1" t="s">
        <v>27</v>
      </c>
      <c r="H540" s="1">
        <v>89.0</v>
      </c>
      <c r="I540" s="4" t="str">
        <f>IFERROR(VLOOKUP(C540,Merchants!$A$2:$D$41,2,FALSE),"Merchant not found")</f>
        <v>Merchant_021</v>
      </c>
      <c r="J540" s="4" t="str">
        <f>IFERROR(VLOOKUP(C540,Merchants!$A$2:$D$41,3,FALSE),"Merchant not found")</f>
        <v>food_delivery</v>
      </c>
      <c r="K540" s="4" t="str">
        <f>IFERROR(VLOOKUP(C540,Merchants!$A$2:$D$41,4,FALSE),"Merchant not found")</f>
        <v>East</v>
      </c>
      <c r="L540" s="4">
        <f>IFERROR(HLOOKUP(F540,Fee_Lookup!$B$1:$E$2,2,FALSE),"Fee not found")</f>
        <v>0.01</v>
      </c>
      <c r="M540" s="5">
        <f t="shared" si="1"/>
        <v>46023</v>
      </c>
      <c r="N540" s="4" t="str">
        <f t="shared" si="2"/>
        <v>21|2026-01-01</v>
      </c>
      <c r="O540" s="4">
        <f>IFERROR(VLOOKUP(N540,Merchant_Daily!$A:$B,2,FALSE),0)</f>
        <v>5298</v>
      </c>
      <c r="P540" s="4" t="str">
        <f t="shared" si="3"/>
        <v>High-Value East Merchant Day</v>
      </c>
    </row>
    <row r="541">
      <c r="A541" s="1" t="s">
        <v>1111</v>
      </c>
      <c r="B541" s="1">
        <v>59.0</v>
      </c>
      <c r="C541" s="1">
        <v>32.0</v>
      </c>
      <c r="D541" s="3">
        <v>46031.875</v>
      </c>
      <c r="E541" s="1">
        <v>499.0</v>
      </c>
      <c r="F541" s="1" t="s">
        <v>46</v>
      </c>
      <c r="G541" s="1" t="s">
        <v>30</v>
      </c>
      <c r="H541" s="1">
        <v>80.0</v>
      </c>
      <c r="I541" s="4" t="str">
        <f>IFERROR(VLOOKUP(C541,Merchants!$A$2:$D$41,2,FALSE),"Merchant not found")</f>
        <v>Merchant_032</v>
      </c>
      <c r="J541" s="4" t="str">
        <f>IFERROR(VLOOKUP(C541,Merchants!$A$2:$D$41,3,FALSE),"Merchant not found")</f>
        <v>food_delivery</v>
      </c>
      <c r="K541" s="4" t="str">
        <f>IFERROR(VLOOKUP(C541,Merchants!$A$2:$D$41,4,FALSE),"Merchant not found")</f>
        <v>West</v>
      </c>
      <c r="L541" s="4">
        <f>IFERROR(HLOOKUP(F541,Fee_Lookup!$B$1:$E$2,2,FALSE),"Fee not found")</f>
        <v>0.01</v>
      </c>
      <c r="M541" s="5">
        <f t="shared" si="1"/>
        <v>46031</v>
      </c>
      <c r="N541" s="4" t="str">
        <f t="shared" si="2"/>
        <v>32|2026-01-09</v>
      </c>
      <c r="O541" s="4">
        <f>IFERROR(VLOOKUP(N541,Merchant_Daily!$A:$B,2,FALSE),0)</f>
        <v>499</v>
      </c>
      <c r="P541" s="4" t="str">
        <f t="shared" si="3"/>
        <v>Standard Merchant Day</v>
      </c>
    </row>
    <row r="542">
      <c r="A542" s="1" t="s">
        <v>1112</v>
      </c>
      <c r="B542" s="1">
        <v>59.0</v>
      </c>
      <c r="C542" s="1">
        <v>39.0</v>
      </c>
      <c r="D542" s="3">
        <v>46031.87569444445</v>
      </c>
      <c r="E542" s="1">
        <v>399.0</v>
      </c>
      <c r="F542" s="1" t="s">
        <v>46</v>
      </c>
      <c r="G542" s="1" t="s">
        <v>30</v>
      </c>
      <c r="H542" s="1">
        <v>85.0</v>
      </c>
      <c r="I542" s="4" t="str">
        <f>IFERROR(VLOOKUP(C542,Merchants!$A$2:$D$41,2,FALSE),"Merchant not found")</f>
        <v>Merchant_039</v>
      </c>
      <c r="J542" s="4" t="str">
        <f>IFERROR(VLOOKUP(C542,Merchants!$A$2:$D$41,3,FALSE),"Merchant not found")</f>
        <v>entertainment</v>
      </c>
      <c r="K542" s="4" t="str">
        <f>IFERROR(VLOOKUP(C542,Merchants!$A$2:$D$41,4,FALSE),"Merchant not found")</f>
        <v>North</v>
      </c>
      <c r="L542" s="4">
        <f>IFERROR(HLOOKUP(F542,Fee_Lookup!$B$1:$E$2,2,FALSE),"Fee not found")</f>
        <v>0.01</v>
      </c>
      <c r="M542" s="5">
        <f t="shared" si="1"/>
        <v>46031</v>
      </c>
      <c r="N542" s="4" t="str">
        <f t="shared" si="2"/>
        <v>39|2026-01-09</v>
      </c>
      <c r="O542" s="4">
        <f>IFERROR(VLOOKUP(N542,Merchant_Daily!$A:$B,2,FALSE),0)</f>
        <v>399</v>
      </c>
      <c r="P542" s="4" t="str">
        <f t="shared" si="3"/>
        <v>Standard Merchant Day</v>
      </c>
    </row>
    <row r="543">
      <c r="A543" s="1" t="s">
        <v>1113</v>
      </c>
      <c r="B543" s="1">
        <v>59.0</v>
      </c>
      <c r="C543" s="1">
        <v>38.0</v>
      </c>
      <c r="D543" s="3">
        <v>46031.876388888886</v>
      </c>
      <c r="E543" s="1">
        <v>299.0</v>
      </c>
      <c r="F543" s="1" t="s">
        <v>46</v>
      </c>
      <c r="G543" s="1" t="s">
        <v>30</v>
      </c>
      <c r="H543" s="1">
        <v>82.0</v>
      </c>
      <c r="I543" s="4" t="str">
        <f>IFERROR(VLOOKUP(C543,Merchants!$A$2:$D$41,2,FALSE),"Merchant not found")</f>
        <v>Merchant_038</v>
      </c>
      <c r="J543" s="4" t="str">
        <f>IFERROR(VLOOKUP(C543,Merchants!$A$2:$D$41,3,FALSE),"Merchant not found")</f>
        <v>grocery</v>
      </c>
      <c r="K543" s="4" t="str">
        <f>IFERROR(VLOOKUP(C543,Merchants!$A$2:$D$41,4,FALSE),"Merchant not found")</f>
        <v>East</v>
      </c>
      <c r="L543" s="4">
        <f>IFERROR(HLOOKUP(F543,Fee_Lookup!$B$1:$E$2,2,FALSE),"Fee not found")</f>
        <v>0.01</v>
      </c>
      <c r="M543" s="5">
        <f t="shared" si="1"/>
        <v>46031</v>
      </c>
      <c r="N543" s="4" t="str">
        <f t="shared" si="2"/>
        <v>38|2026-01-09</v>
      </c>
      <c r="O543" s="4">
        <f>IFERROR(VLOOKUP(N543,Merchant_Daily!$A:$B,2,FALSE),0)</f>
        <v>348</v>
      </c>
      <c r="P543" s="4" t="str">
        <f t="shared" si="3"/>
        <v>Standard Merchant Day</v>
      </c>
    </row>
    <row r="544">
      <c r="A544" s="1" t="s">
        <v>1114</v>
      </c>
      <c r="B544" s="1">
        <v>59.0</v>
      </c>
      <c r="C544" s="1">
        <v>23.0</v>
      </c>
      <c r="D544" s="3">
        <v>46031.87708333333</v>
      </c>
      <c r="E544" s="1">
        <v>399.0</v>
      </c>
      <c r="F544" s="1" t="s">
        <v>46</v>
      </c>
      <c r="G544" s="1" t="s">
        <v>27</v>
      </c>
      <c r="H544" s="1">
        <v>71.0</v>
      </c>
      <c r="I544" s="4" t="str">
        <f>IFERROR(VLOOKUP(C544,Merchants!$A$2:$D$41,2,FALSE),"Merchant not found")</f>
        <v>Merchant_023</v>
      </c>
      <c r="J544" s="4" t="str">
        <f>IFERROR(VLOOKUP(C544,Merchants!$A$2:$D$41,3,FALSE),"Merchant not found")</f>
        <v>travel</v>
      </c>
      <c r="K544" s="4" t="str">
        <f>IFERROR(VLOOKUP(C544,Merchants!$A$2:$D$41,4,FALSE),"Merchant not found")</f>
        <v>North</v>
      </c>
      <c r="L544" s="4">
        <f>IFERROR(HLOOKUP(F544,Fee_Lookup!$B$1:$E$2,2,FALSE),"Fee not found")</f>
        <v>0.01</v>
      </c>
      <c r="M544" s="5">
        <f t="shared" si="1"/>
        <v>46031</v>
      </c>
      <c r="N544" s="4" t="str">
        <f t="shared" si="2"/>
        <v>23|2026-01-09</v>
      </c>
      <c r="O544" s="4">
        <f>IFERROR(VLOOKUP(N544,Merchant_Daily!$A:$B,2,FALSE),0)</f>
        <v>399</v>
      </c>
      <c r="P544" s="4" t="str">
        <f t="shared" si="3"/>
        <v>Standard Merchant Day</v>
      </c>
    </row>
    <row r="545">
      <c r="A545" s="1" t="s">
        <v>1115</v>
      </c>
      <c r="B545" s="1">
        <v>345.0</v>
      </c>
      <c r="C545" s="1">
        <v>40.0</v>
      </c>
      <c r="D545" s="3">
        <v>46045.375</v>
      </c>
      <c r="E545" s="1">
        <v>499.0</v>
      </c>
      <c r="F545" s="1" t="s">
        <v>46</v>
      </c>
      <c r="G545" s="1" t="s">
        <v>30</v>
      </c>
      <c r="H545" s="1">
        <v>65.0</v>
      </c>
      <c r="I545" s="4" t="str">
        <f>IFERROR(VLOOKUP(C545,Merchants!$A$2:$D$41,2,FALSE),"Merchant not found")</f>
        <v>Merchant_040</v>
      </c>
      <c r="J545" s="4" t="str">
        <f>IFERROR(VLOOKUP(C545,Merchants!$A$2:$D$41,3,FALSE),"Merchant not found")</f>
        <v>entertainment</v>
      </c>
      <c r="K545" s="4" t="str">
        <f>IFERROR(VLOOKUP(C545,Merchants!$A$2:$D$41,4,FALSE),"Merchant not found")</f>
        <v>South</v>
      </c>
      <c r="L545" s="4">
        <f>IFERROR(HLOOKUP(F545,Fee_Lookup!$B$1:$E$2,2,FALSE),"Fee not found")</f>
        <v>0.01</v>
      </c>
      <c r="M545" s="5">
        <f t="shared" si="1"/>
        <v>46045</v>
      </c>
      <c r="N545" s="4" t="str">
        <f t="shared" si="2"/>
        <v>40|2026-01-23</v>
      </c>
      <c r="O545" s="4">
        <f>IFERROR(VLOOKUP(N545,Merchant_Daily!$A:$B,2,FALSE),0)</f>
        <v>598</v>
      </c>
      <c r="P545" s="4" t="str">
        <f t="shared" si="3"/>
        <v>Standard Merchant Day</v>
      </c>
    </row>
    <row r="546">
      <c r="A546" s="1" t="s">
        <v>1116</v>
      </c>
      <c r="B546" s="1">
        <v>345.0</v>
      </c>
      <c r="C546" s="1">
        <v>9.0</v>
      </c>
      <c r="D546" s="3">
        <v>46045.37569444445</v>
      </c>
      <c r="E546" s="1">
        <v>399.0</v>
      </c>
      <c r="F546" s="1" t="s">
        <v>46</v>
      </c>
      <c r="G546" s="1" t="s">
        <v>30</v>
      </c>
      <c r="H546" s="1">
        <v>67.0</v>
      </c>
      <c r="I546" s="4" t="str">
        <f>IFERROR(VLOOKUP(C546,Merchants!$A$2:$D$41,2,FALSE),"Merchant not found")</f>
        <v>Merchant_009</v>
      </c>
      <c r="J546" s="4" t="str">
        <f>IFERROR(VLOOKUP(C546,Merchants!$A$2:$D$41,3,FALSE),"Merchant not found")</f>
        <v>ecommerce</v>
      </c>
      <c r="K546" s="4" t="str">
        <f>IFERROR(VLOOKUP(C546,Merchants!$A$2:$D$41,4,FALSE),"Merchant not found")</f>
        <v>North</v>
      </c>
      <c r="L546" s="4">
        <f>IFERROR(HLOOKUP(F546,Fee_Lookup!$B$1:$E$2,2,FALSE),"Fee not found")</f>
        <v>0.01</v>
      </c>
      <c r="M546" s="5">
        <f t="shared" si="1"/>
        <v>46045</v>
      </c>
      <c r="N546" s="4" t="str">
        <f t="shared" si="2"/>
        <v>9|2026-01-23</v>
      </c>
      <c r="O546" s="4">
        <f>IFERROR(VLOOKUP(N546,Merchant_Daily!$A:$B,2,FALSE),0)</f>
        <v>898</v>
      </c>
      <c r="P546" s="4" t="str">
        <f t="shared" si="3"/>
        <v>Standard Merchant Day</v>
      </c>
    </row>
    <row r="547">
      <c r="A547" s="1" t="s">
        <v>1117</v>
      </c>
      <c r="B547" s="1">
        <v>345.0</v>
      </c>
      <c r="C547" s="1">
        <v>16.0</v>
      </c>
      <c r="D547" s="3">
        <v>46045.376388888886</v>
      </c>
      <c r="E547" s="1">
        <v>399.0</v>
      </c>
      <c r="F547" s="1" t="s">
        <v>46</v>
      </c>
      <c r="G547" s="1" t="s">
        <v>30</v>
      </c>
      <c r="H547" s="1">
        <v>67.0</v>
      </c>
      <c r="I547" s="4" t="str">
        <f>IFERROR(VLOOKUP(C547,Merchants!$A$2:$D$41,2,FALSE),"Merchant not found")</f>
        <v>Merchant_016</v>
      </c>
      <c r="J547" s="4" t="str">
        <f>IFERROR(VLOOKUP(C547,Merchants!$A$2:$D$41,3,FALSE),"Merchant not found")</f>
        <v>bill_payment</v>
      </c>
      <c r="K547" s="4" t="str">
        <f>IFERROR(VLOOKUP(C547,Merchants!$A$2:$D$41,4,FALSE),"Merchant not found")</f>
        <v>West</v>
      </c>
      <c r="L547" s="4">
        <f>IFERROR(HLOOKUP(F547,Fee_Lookup!$B$1:$E$2,2,FALSE),"Fee not found")</f>
        <v>0.01</v>
      </c>
      <c r="M547" s="5">
        <f t="shared" si="1"/>
        <v>46045</v>
      </c>
      <c r="N547" s="4" t="str">
        <f t="shared" si="2"/>
        <v>16|2026-01-23</v>
      </c>
      <c r="O547" s="4">
        <f>IFERROR(VLOOKUP(N547,Merchant_Daily!$A:$B,2,FALSE),0)</f>
        <v>399</v>
      </c>
      <c r="P547" s="4" t="str">
        <f t="shared" si="3"/>
        <v>Standard Merchant Day</v>
      </c>
    </row>
    <row r="548">
      <c r="A548" s="1" t="s">
        <v>1118</v>
      </c>
      <c r="B548" s="1">
        <v>345.0</v>
      </c>
      <c r="C548" s="1">
        <v>12.0</v>
      </c>
      <c r="D548" s="3">
        <v>46045.37708333333</v>
      </c>
      <c r="E548" s="1">
        <v>399.0</v>
      </c>
      <c r="F548" s="1" t="s">
        <v>46</v>
      </c>
      <c r="G548" s="1" t="s">
        <v>27</v>
      </c>
      <c r="H548" s="1">
        <v>69.0</v>
      </c>
      <c r="I548" s="4" t="str">
        <f>IFERROR(VLOOKUP(C548,Merchants!$A$2:$D$41,2,FALSE),"Merchant not found")</f>
        <v>Merchant_012</v>
      </c>
      <c r="J548" s="4" t="str">
        <f>IFERROR(VLOOKUP(C548,Merchants!$A$2:$D$41,3,FALSE),"Merchant not found")</f>
        <v>ecommerce</v>
      </c>
      <c r="K548" s="4" t="str">
        <f>IFERROR(VLOOKUP(C548,Merchants!$A$2:$D$41,4,FALSE),"Merchant not found")</f>
        <v>East</v>
      </c>
      <c r="L548" s="4">
        <f>IFERROR(HLOOKUP(F548,Fee_Lookup!$B$1:$E$2,2,FALSE),"Fee not found")</f>
        <v>0.01</v>
      </c>
      <c r="M548" s="5">
        <f t="shared" si="1"/>
        <v>46045</v>
      </c>
      <c r="N548" s="4" t="str">
        <f t="shared" si="2"/>
        <v>12|2026-01-23</v>
      </c>
      <c r="O548" s="4">
        <f>IFERROR(VLOOKUP(N548,Merchant_Daily!$A:$B,2,FALSE),0)</f>
        <v>448</v>
      </c>
      <c r="P548" s="4" t="str">
        <f t="shared" si="3"/>
        <v>Standard Merchant Day</v>
      </c>
    </row>
    <row r="549">
      <c r="M549" s="5"/>
    </row>
    <row r="550">
      <c r="M550" s="5"/>
    </row>
    <row r="551">
      <c r="M551" s="5"/>
    </row>
    <row r="552">
      <c r="M552" s="5"/>
    </row>
    <row r="553">
      <c r="M553" s="5"/>
    </row>
    <row r="554">
      <c r="M554" s="5"/>
    </row>
    <row r="555">
      <c r="M555" s="5"/>
    </row>
    <row r="556">
      <c r="M556" s="5"/>
    </row>
    <row r="557">
      <c r="M557" s="5"/>
    </row>
    <row r="558">
      <c r="M558" s="5"/>
    </row>
    <row r="559">
      <c r="M559" s="5"/>
    </row>
    <row r="560">
      <c r="M560" s="5"/>
    </row>
    <row r="561">
      <c r="M561" s="5"/>
    </row>
    <row r="562">
      <c r="M562" s="5"/>
    </row>
    <row r="563">
      <c r="M563" s="5"/>
    </row>
    <row r="564">
      <c r="M564" s="5"/>
    </row>
    <row r="565">
      <c r="M565" s="5"/>
    </row>
    <row r="566">
      <c r="M566" s="5"/>
    </row>
    <row r="567">
      <c r="M567" s="5"/>
    </row>
    <row r="568">
      <c r="M568" s="5"/>
    </row>
    <row r="569">
      <c r="M569" s="5"/>
    </row>
    <row r="570">
      <c r="M570" s="5"/>
    </row>
    <row r="571">
      <c r="M571" s="5"/>
    </row>
    <row r="572">
      <c r="M572" s="5"/>
    </row>
    <row r="573">
      <c r="M573" s="5"/>
    </row>
    <row r="574">
      <c r="M574" s="5"/>
    </row>
    <row r="575">
      <c r="M575" s="5"/>
    </row>
    <row r="576">
      <c r="M576" s="5"/>
    </row>
    <row r="577">
      <c r="M577" s="5"/>
    </row>
    <row r="578">
      <c r="M578" s="5"/>
    </row>
    <row r="579">
      <c r="M579" s="5"/>
    </row>
    <row r="580">
      <c r="M580" s="5"/>
    </row>
    <row r="581">
      <c r="M581" s="5"/>
    </row>
    <row r="582">
      <c r="M582" s="5"/>
    </row>
    <row r="583">
      <c r="M583" s="5"/>
    </row>
    <row r="584">
      <c r="M584" s="5"/>
    </row>
    <row r="585">
      <c r="M585" s="5"/>
    </row>
    <row r="586">
      <c r="M586" s="5"/>
    </row>
    <row r="587">
      <c r="M587" s="5"/>
    </row>
    <row r="588">
      <c r="M588" s="5"/>
    </row>
    <row r="589">
      <c r="M589" s="5"/>
    </row>
    <row r="590">
      <c r="M590" s="5"/>
    </row>
    <row r="591">
      <c r="M591" s="5"/>
    </row>
    <row r="592">
      <c r="M592" s="5"/>
    </row>
    <row r="593">
      <c r="M593" s="5"/>
    </row>
    <row r="594">
      <c r="M594" s="5"/>
    </row>
    <row r="595">
      <c r="M595" s="5"/>
    </row>
    <row r="596">
      <c r="M596" s="5"/>
    </row>
    <row r="597">
      <c r="M597" s="5"/>
    </row>
    <row r="598">
      <c r="M598" s="5"/>
    </row>
    <row r="599">
      <c r="M599" s="5"/>
    </row>
    <row r="600">
      <c r="M600" s="5"/>
    </row>
    <row r="601">
      <c r="M601" s="5"/>
    </row>
    <row r="602">
      <c r="M602" s="5"/>
    </row>
    <row r="603">
      <c r="M603" s="5"/>
    </row>
    <row r="604">
      <c r="M604" s="5"/>
    </row>
    <row r="605">
      <c r="M605" s="5"/>
    </row>
    <row r="606">
      <c r="M606" s="5"/>
    </row>
    <row r="607">
      <c r="M607" s="5"/>
    </row>
    <row r="608">
      <c r="M608" s="5"/>
    </row>
    <row r="609">
      <c r="M609" s="5"/>
    </row>
    <row r="610">
      <c r="M610" s="5"/>
    </row>
    <row r="611">
      <c r="M611" s="5"/>
    </row>
    <row r="612">
      <c r="M612" s="5"/>
    </row>
    <row r="613">
      <c r="M613" s="5"/>
    </row>
    <row r="614">
      <c r="M614" s="5"/>
    </row>
    <row r="615">
      <c r="M615" s="5"/>
    </row>
    <row r="616">
      <c r="M616" s="5"/>
    </row>
    <row r="617">
      <c r="M617" s="5"/>
    </row>
    <row r="618">
      <c r="M618" s="5"/>
    </row>
    <row r="619">
      <c r="M619" s="5"/>
    </row>
    <row r="620">
      <c r="M620" s="5"/>
    </row>
    <row r="621">
      <c r="M621" s="5"/>
    </row>
    <row r="622">
      <c r="M622" s="5"/>
    </row>
    <row r="623">
      <c r="M623" s="5"/>
    </row>
    <row r="624">
      <c r="M624" s="5"/>
    </row>
    <row r="625">
      <c r="M625" s="5"/>
    </row>
    <row r="626">
      <c r="M626" s="5"/>
    </row>
    <row r="627">
      <c r="M627" s="5"/>
    </row>
    <row r="628">
      <c r="M628" s="5"/>
    </row>
    <row r="629">
      <c r="M629" s="5"/>
    </row>
    <row r="630">
      <c r="M630" s="5"/>
    </row>
    <row r="631">
      <c r="M631" s="5"/>
    </row>
    <row r="632">
      <c r="M632" s="5"/>
    </row>
    <row r="633">
      <c r="M633" s="5"/>
    </row>
    <row r="634">
      <c r="M634" s="5"/>
    </row>
    <row r="635">
      <c r="M635" s="5"/>
    </row>
    <row r="636">
      <c r="M636" s="5"/>
    </row>
    <row r="637">
      <c r="M637" s="5"/>
    </row>
    <row r="638">
      <c r="M638" s="5"/>
    </row>
    <row r="639">
      <c r="M639" s="5"/>
    </row>
    <row r="640">
      <c r="M640" s="5"/>
    </row>
    <row r="641">
      <c r="M641" s="5"/>
    </row>
    <row r="642">
      <c r="M642" s="5"/>
    </row>
    <row r="643">
      <c r="M643" s="5"/>
    </row>
    <row r="644">
      <c r="M644" s="5"/>
    </row>
    <row r="645">
      <c r="M645" s="5"/>
    </row>
    <row r="646">
      <c r="M646" s="5"/>
    </row>
    <row r="647">
      <c r="M647" s="5"/>
    </row>
    <row r="648">
      <c r="M648" s="5"/>
    </row>
    <row r="649">
      <c r="M649" s="5"/>
    </row>
    <row r="650">
      <c r="M650" s="5"/>
    </row>
    <row r="651">
      <c r="M651" s="5"/>
    </row>
    <row r="652">
      <c r="M652" s="5"/>
    </row>
    <row r="653">
      <c r="M653" s="5"/>
    </row>
    <row r="654">
      <c r="M654" s="5"/>
    </row>
    <row r="655">
      <c r="M655" s="5"/>
    </row>
    <row r="656">
      <c r="M656" s="5"/>
    </row>
    <row r="657">
      <c r="M657" s="5"/>
    </row>
    <row r="658">
      <c r="M658" s="5"/>
    </row>
    <row r="659">
      <c r="M659" s="5"/>
    </row>
    <row r="660">
      <c r="M660" s="5"/>
    </row>
    <row r="661">
      <c r="M661" s="5"/>
    </row>
    <row r="662">
      <c r="M662" s="5"/>
    </row>
    <row r="663">
      <c r="M663" s="5"/>
    </row>
    <row r="664">
      <c r="M664" s="5"/>
    </row>
    <row r="665">
      <c r="M665" s="5"/>
    </row>
    <row r="666">
      <c r="M666" s="5"/>
    </row>
    <row r="667">
      <c r="M667" s="5"/>
    </row>
    <row r="668">
      <c r="M668" s="5"/>
    </row>
    <row r="669">
      <c r="M669" s="5"/>
    </row>
    <row r="670">
      <c r="M670" s="5"/>
    </row>
    <row r="671">
      <c r="M671" s="5"/>
    </row>
    <row r="672">
      <c r="M672" s="5"/>
    </row>
    <row r="673">
      <c r="M673" s="5"/>
    </row>
    <row r="674">
      <c r="M674" s="5"/>
    </row>
    <row r="675">
      <c r="M675" s="5"/>
    </row>
    <row r="676">
      <c r="M676" s="5"/>
    </row>
    <row r="677">
      <c r="M677" s="5"/>
    </row>
    <row r="678">
      <c r="M678" s="5"/>
    </row>
    <row r="679">
      <c r="M679" s="5"/>
    </row>
    <row r="680">
      <c r="M680" s="5"/>
    </row>
    <row r="681">
      <c r="M681" s="5"/>
    </row>
    <row r="682">
      <c r="M682" s="5"/>
    </row>
    <row r="683">
      <c r="M683" s="5"/>
    </row>
    <row r="684">
      <c r="M684" s="5"/>
    </row>
    <row r="685">
      <c r="M685" s="5"/>
    </row>
    <row r="686">
      <c r="M686" s="5"/>
    </row>
    <row r="687">
      <c r="M687" s="5"/>
    </row>
    <row r="688">
      <c r="M688" s="5"/>
    </row>
    <row r="689">
      <c r="M689" s="5"/>
    </row>
    <row r="690">
      <c r="M690" s="5"/>
    </row>
    <row r="691">
      <c r="M691" s="5"/>
    </row>
    <row r="692">
      <c r="M692" s="5"/>
    </row>
    <row r="693">
      <c r="M693" s="5"/>
    </row>
    <row r="694">
      <c r="M694" s="5"/>
    </row>
    <row r="695">
      <c r="M695" s="5"/>
    </row>
    <row r="696">
      <c r="M696" s="5"/>
    </row>
    <row r="697">
      <c r="M697" s="5"/>
    </row>
    <row r="698">
      <c r="M698" s="5"/>
    </row>
    <row r="699">
      <c r="M699" s="5"/>
    </row>
    <row r="700">
      <c r="M700" s="5"/>
    </row>
    <row r="701">
      <c r="M701" s="5"/>
    </row>
    <row r="702">
      <c r="M702" s="5"/>
    </row>
    <row r="703">
      <c r="M703" s="5"/>
    </row>
    <row r="704">
      <c r="M704" s="5"/>
    </row>
    <row r="705">
      <c r="M705" s="5"/>
    </row>
    <row r="706">
      <c r="M706" s="5"/>
    </row>
    <row r="707">
      <c r="M707" s="5"/>
    </row>
    <row r="708">
      <c r="M708" s="5"/>
    </row>
    <row r="709">
      <c r="M709" s="5"/>
    </row>
    <row r="710">
      <c r="M710" s="5"/>
    </row>
    <row r="711">
      <c r="M711" s="5"/>
    </row>
    <row r="712">
      <c r="M712" s="5"/>
    </row>
    <row r="713">
      <c r="M713" s="5"/>
    </row>
    <row r="714">
      <c r="M714" s="5"/>
    </row>
    <row r="715">
      <c r="M715" s="5"/>
    </row>
    <row r="716">
      <c r="M716" s="5"/>
    </row>
    <row r="717">
      <c r="M717" s="5"/>
    </row>
    <row r="718">
      <c r="M718" s="5"/>
    </row>
    <row r="719">
      <c r="M719" s="5"/>
    </row>
    <row r="720">
      <c r="M720" s="5"/>
    </row>
    <row r="721">
      <c r="M721" s="5"/>
    </row>
    <row r="722">
      <c r="M722" s="5"/>
    </row>
    <row r="723">
      <c r="M723" s="5"/>
    </row>
    <row r="724">
      <c r="M724" s="5"/>
    </row>
    <row r="725">
      <c r="M725" s="5"/>
    </row>
    <row r="726">
      <c r="M726" s="5"/>
    </row>
    <row r="727">
      <c r="M727" s="5"/>
    </row>
    <row r="728">
      <c r="M728" s="5"/>
    </row>
    <row r="729">
      <c r="M729" s="5"/>
    </row>
    <row r="730">
      <c r="M730" s="5"/>
    </row>
    <row r="731">
      <c r="M731" s="5"/>
    </row>
    <row r="732">
      <c r="M732" s="5"/>
    </row>
    <row r="733">
      <c r="M733" s="5"/>
    </row>
    <row r="734">
      <c r="M734" s="5"/>
    </row>
    <row r="735">
      <c r="M735" s="5"/>
    </row>
    <row r="736">
      <c r="M736" s="5"/>
    </row>
    <row r="737">
      <c r="M737" s="5"/>
    </row>
    <row r="738">
      <c r="M738" s="5"/>
    </row>
    <row r="739">
      <c r="M739" s="5"/>
    </row>
    <row r="740">
      <c r="M740" s="5"/>
    </row>
    <row r="741">
      <c r="M741" s="5"/>
    </row>
    <row r="742">
      <c r="M742" s="5"/>
    </row>
    <row r="743">
      <c r="M743" s="5"/>
    </row>
    <row r="744">
      <c r="M744" s="5"/>
    </row>
    <row r="745">
      <c r="M745" s="5"/>
    </row>
    <row r="746">
      <c r="M746" s="5"/>
    </row>
    <row r="747">
      <c r="M747" s="5"/>
    </row>
    <row r="748">
      <c r="M748" s="5"/>
    </row>
    <row r="749">
      <c r="M749" s="5"/>
    </row>
    <row r="750">
      <c r="M750" s="5"/>
    </row>
    <row r="751">
      <c r="M751" s="5"/>
    </row>
    <row r="752">
      <c r="M752" s="5"/>
    </row>
    <row r="753">
      <c r="M753" s="5"/>
    </row>
    <row r="754">
      <c r="M754" s="5"/>
    </row>
    <row r="755">
      <c r="M755" s="5"/>
    </row>
    <row r="756">
      <c r="M756" s="5"/>
    </row>
    <row r="757">
      <c r="M757" s="5"/>
    </row>
    <row r="758">
      <c r="M758" s="5"/>
    </row>
    <row r="759">
      <c r="M759" s="5"/>
    </row>
    <row r="760">
      <c r="M760" s="5"/>
    </row>
    <row r="761">
      <c r="M761" s="5"/>
    </row>
    <row r="762">
      <c r="M762" s="5"/>
    </row>
    <row r="763">
      <c r="M763" s="5"/>
    </row>
    <row r="764">
      <c r="M764" s="5"/>
    </row>
    <row r="765">
      <c r="M765" s="5"/>
    </row>
    <row r="766">
      <c r="M766" s="5"/>
    </row>
    <row r="767">
      <c r="M767" s="5"/>
    </row>
    <row r="768">
      <c r="M768" s="5"/>
    </row>
    <row r="769">
      <c r="M769" s="5"/>
    </row>
    <row r="770">
      <c r="M770" s="5"/>
    </row>
    <row r="771">
      <c r="M771" s="5"/>
    </row>
    <row r="772">
      <c r="M772" s="5"/>
    </row>
    <row r="773">
      <c r="M773" s="5"/>
    </row>
    <row r="774">
      <c r="M774" s="5"/>
    </row>
    <row r="775">
      <c r="M775" s="5"/>
    </row>
    <row r="776">
      <c r="M776" s="5"/>
    </row>
    <row r="777">
      <c r="M777" s="5"/>
    </row>
    <row r="778">
      <c r="M778" s="5"/>
    </row>
    <row r="779">
      <c r="M779" s="5"/>
    </row>
    <row r="780">
      <c r="M780" s="5"/>
    </row>
    <row r="781">
      <c r="M781" s="5"/>
    </row>
    <row r="782">
      <c r="M782" s="5"/>
    </row>
    <row r="783">
      <c r="M783" s="5"/>
    </row>
    <row r="784">
      <c r="M784" s="5"/>
    </row>
    <row r="785">
      <c r="M785" s="5"/>
    </row>
    <row r="786">
      <c r="M786" s="5"/>
    </row>
    <row r="787">
      <c r="M787" s="5"/>
    </row>
    <row r="788">
      <c r="M788" s="5"/>
    </row>
    <row r="789">
      <c r="M789" s="5"/>
    </row>
    <row r="790">
      <c r="M790" s="5"/>
    </row>
    <row r="791">
      <c r="M791" s="5"/>
    </row>
    <row r="792">
      <c r="M792" s="5"/>
    </row>
    <row r="793">
      <c r="M793" s="5"/>
    </row>
    <row r="794">
      <c r="M794" s="5"/>
    </row>
    <row r="795">
      <c r="M795" s="5"/>
    </row>
    <row r="796">
      <c r="M796" s="5"/>
    </row>
    <row r="797">
      <c r="M797" s="5"/>
    </row>
    <row r="798">
      <c r="M798" s="5"/>
    </row>
    <row r="799">
      <c r="M799" s="5"/>
    </row>
    <row r="800">
      <c r="M800" s="5"/>
    </row>
    <row r="801">
      <c r="M801" s="5"/>
    </row>
    <row r="802">
      <c r="M802" s="5"/>
    </row>
    <row r="803">
      <c r="M803" s="5"/>
    </row>
    <row r="804">
      <c r="M804" s="5"/>
    </row>
    <row r="805">
      <c r="M805" s="5"/>
    </row>
    <row r="806">
      <c r="M806" s="5"/>
    </row>
    <row r="807">
      <c r="M807" s="5"/>
    </row>
    <row r="808">
      <c r="M808" s="5"/>
    </row>
    <row r="809">
      <c r="M809" s="5"/>
    </row>
    <row r="810">
      <c r="M810" s="5"/>
    </row>
    <row r="811">
      <c r="M811" s="5"/>
    </row>
    <row r="812">
      <c r="M812" s="5"/>
    </row>
    <row r="813">
      <c r="M813" s="5"/>
    </row>
    <row r="814">
      <c r="M814" s="5"/>
    </row>
    <row r="815">
      <c r="M815" s="5"/>
    </row>
    <row r="816">
      <c r="M816" s="5"/>
    </row>
    <row r="817">
      <c r="M817" s="5"/>
    </row>
    <row r="818">
      <c r="M818" s="5"/>
    </row>
    <row r="819">
      <c r="M819" s="5"/>
    </row>
    <row r="820">
      <c r="M820" s="5"/>
    </row>
    <row r="821">
      <c r="M821" s="5"/>
    </row>
    <row r="822">
      <c r="M822" s="5"/>
    </row>
    <row r="823">
      <c r="M823" s="5"/>
    </row>
    <row r="824">
      <c r="M824" s="5"/>
    </row>
    <row r="825">
      <c r="M825" s="5"/>
    </row>
    <row r="826">
      <c r="M826" s="5"/>
    </row>
    <row r="827">
      <c r="M827" s="5"/>
    </row>
    <row r="828">
      <c r="M828" s="5"/>
    </row>
    <row r="829">
      <c r="M829" s="5"/>
    </row>
    <row r="830">
      <c r="M830" s="5"/>
    </row>
    <row r="831">
      <c r="M831" s="5"/>
    </row>
    <row r="832">
      <c r="M832" s="5"/>
    </row>
    <row r="833">
      <c r="M833" s="5"/>
    </row>
    <row r="834">
      <c r="M834" s="5"/>
    </row>
    <row r="835">
      <c r="M835" s="5"/>
    </row>
    <row r="836">
      <c r="M836" s="5"/>
    </row>
    <row r="837">
      <c r="M837" s="5"/>
    </row>
    <row r="838">
      <c r="M838" s="5"/>
    </row>
    <row r="839">
      <c r="M839" s="5"/>
    </row>
    <row r="840">
      <c r="M840" s="5"/>
    </row>
    <row r="841">
      <c r="M841" s="5"/>
    </row>
    <row r="842">
      <c r="M842" s="5"/>
    </row>
    <row r="843">
      <c r="M843" s="5"/>
    </row>
    <row r="844">
      <c r="M844" s="5"/>
    </row>
    <row r="845">
      <c r="M845" s="5"/>
    </row>
    <row r="846">
      <c r="M846" s="5"/>
    </row>
    <row r="847">
      <c r="M847" s="5"/>
    </row>
    <row r="848">
      <c r="M848" s="5"/>
    </row>
    <row r="849">
      <c r="M849" s="5"/>
    </row>
    <row r="850">
      <c r="M850" s="5"/>
    </row>
    <row r="851">
      <c r="M851" s="5"/>
    </row>
    <row r="852">
      <c r="M852" s="5"/>
    </row>
    <row r="853">
      <c r="M853" s="5"/>
    </row>
    <row r="854">
      <c r="M854" s="5"/>
    </row>
    <row r="855">
      <c r="M855" s="5"/>
    </row>
    <row r="856">
      <c r="M856" s="5"/>
    </row>
    <row r="857">
      <c r="M857" s="5"/>
    </row>
    <row r="858">
      <c r="M858" s="5"/>
    </row>
    <row r="859">
      <c r="M859" s="5"/>
    </row>
    <row r="860">
      <c r="M860" s="5"/>
    </row>
    <row r="861">
      <c r="M861" s="5"/>
    </row>
    <row r="862">
      <c r="M862" s="5"/>
    </row>
    <row r="863">
      <c r="M863" s="5"/>
    </row>
    <row r="864">
      <c r="M864" s="5"/>
    </row>
    <row r="865">
      <c r="M865" s="5"/>
    </row>
    <row r="866">
      <c r="M866" s="5"/>
    </row>
    <row r="867">
      <c r="M867" s="5"/>
    </row>
    <row r="868">
      <c r="M868" s="5"/>
    </row>
    <row r="869">
      <c r="M869" s="5"/>
    </row>
    <row r="870">
      <c r="M870" s="5"/>
    </row>
    <row r="871">
      <c r="M871" s="5"/>
    </row>
    <row r="872">
      <c r="M872" s="5"/>
    </row>
    <row r="873">
      <c r="M873" s="5"/>
    </row>
    <row r="874">
      <c r="M874" s="5"/>
    </row>
    <row r="875">
      <c r="M875" s="5"/>
    </row>
    <row r="876">
      <c r="M876" s="5"/>
    </row>
    <row r="877">
      <c r="M877" s="5"/>
    </row>
    <row r="878">
      <c r="M878" s="5"/>
    </row>
    <row r="879">
      <c r="M879" s="5"/>
    </row>
    <row r="880">
      <c r="M880" s="5"/>
    </row>
    <row r="881">
      <c r="M881" s="5"/>
    </row>
    <row r="882">
      <c r="M882" s="5"/>
    </row>
    <row r="883">
      <c r="M883" s="5"/>
    </row>
    <row r="884">
      <c r="M884" s="5"/>
    </row>
    <row r="885">
      <c r="M885" s="5"/>
    </row>
    <row r="886">
      <c r="M886" s="5"/>
    </row>
    <row r="887">
      <c r="M887" s="5"/>
    </row>
    <row r="888">
      <c r="M888" s="5"/>
    </row>
    <row r="889">
      <c r="M889" s="5"/>
    </row>
    <row r="890">
      <c r="M890" s="5"/>
    </row>
    <row r="891">
      <c r="M891" s="5"/>
    </row>
    <row r="892">
      <c r="M892" s="5"/>
    </row>
    <row r="893">
      <c r="M893" s="5"/>
    </row>
    <row r="894">
      <c r="M894" s="5"/>
    </row>
    <row r="895">
      <c r="M895" s="5"/>
    </row>
    <row r="896">
      <c r="M896" s="5"/>
    </row>
    <row r="897">
      <c r="M897" s="5"/>
    </row>
    <row r="898">
      <c r="M898" s="5"/>
    </row>
    <row r="899">
      <c r="M899" s="5"/>
    </row>
    <row r="900">
      <c r="M900" s="5"/>
    </row>
    <row r="901">
      <c r="M901" s="5"/>
    </row>
    <row r="902">
      <c r="M902" s="5"/>
    </row>
    <row r="903">
      <c r="M903" s="5"/>
    </row>
    <row r="904">
      <c r="M904" s="5"/>
    </row>
    <row r="905">
      <c r="M905" s="5"/>
    </row>
    <row r="906">
      <c r="M906" s="5"/>
    </row>
    <row r="907">
      <c r="M907" s="5"/>
    </row>
    <row r="908">
      <c r="M908" s="5"/>
    </row>
    <row r="909">
      <c r="M909" s="5"/>
    </row>
    <row r="910">
      <c r="M910" s="5"/>
    </row>
    <row r="911">
      <c r="M911" s="5"/>
    </row>
    <row r="912">
      <c r="M912" s="5"/>
    </row>
    <row r="913">
      <c r="M913" s="5"/>
    </row>
    <row r="914">
      <c r="M914" s="5"/>
    </row>
    <row r="915">
      <c r="M915" s="5"/>
    </row>
    <row r="916">
      <c r="M916" s="5"/>
    </row>
    <row r="917">
      <c r="M917" s="5"/>
    </row>
    <row r="918">
      <c r="M918" s="5"/>
    </row>
    <row r="919">
      <c r="M919" s="5"/>
    </row>
    <row r="920">
      <c r="M920" s="5"/>
    </row>
    <row r="921">
      <c r="M921" s="5"/>
    </row>
    <row r="922">
      <c r="M922" s="5"/>
    </row>
    <row r="923">
      <c r="M923" s="5"/>
    </row>
    <row r="924">
      <c r="M924" s="5"/>
    </row>
    <row r="925">
      <c r="M925" s="5"/>
    </row>
    <row r="926">
      <c r="M926" s="5"/>
    </row>
    <row r="927">
      <c r="M927" s="5"/>
    </row>
    <row r="928">
      <c r="M928" s="5"/>
    </row>
    <row r="929">
      <c r="M929" s="5"/>
    </row>
    <row r="930">
      <c r="M930" s="5"/>
    </row>
    <row r="931">
      <c r="M931" s="5"/>
    </row>
    <row r="932">
      <c r="M932" s="5"/>
    </row>
    <row r="933">
      <c r="M933" s="5"/>
    </row>
    <row r="934">
      <c r="M934" s="5"/>
    </row>
    <row r="935">
      <c r="M935" s="5"/>
    </row>
    <row r="936">
      <c r="M936" s="5"/>
    </row>
    <row r="937">
      <c r="M937" s="5"/>
    </row>
    <row r="938">
      <c r="M938" s="5"/>
    </row>
    <row r="939">
      <c r="M939" s="5"/>
    </row>
    <row r="940">
      <c r="M940" s="5"/>
    </row>
    <row r="941">
      <c r="M941" s="5"/>
    </row>
    <row r="942">
      <c r="M942" s="5"/>
    </row>
    <row r="943">
      <c r="M943" s="5"/>
    </row>
    <row r="944">
      <c r="M944" s="5"/>
    </row>
    <row r="945">
      <c r="M945" s="5"/>
    </row>
    <row r="946">
      <c r="M946" s="5"/>
    </row>
    <row r="947">
      <c r="M947" s="5"/>
    </row>
    <row r="948">
      <c r="M948" s="5"/>
    </row>
    <row r="949">
      <c r="M949" s="5"/>
    </row>
    <row r="950">
      <c r="M950" s="5"/>
    </row>
    <row r="951">
      <c r="M951" s="5"/>
    </row>
    <row r="952">
      <c r="M952" s="5"/>
    </row>
    <row r="953">
      <c r="M953" s="5"/>
    </row>
    <row r="954">
      <c r="M954" s="5"/>
    </row>
    <row r="955">
      <c r="M955" s="5"/>
    </row>
    <row r="956">
      <c r="M956" s="5"/>
    </row>
    <row r="957">
      <c r="M957" s="5"/>
    </row>
    <row r="958">
      <c r="M958" s="5"/>
    </row>
    <row r="959">
      <c r="M959" s="5"/>
    </row>
    <row r="960">
      <c r="M960" s="5"/>
    </row>
    <row r="961">
      <c r="M961" s="5"/>
    </row>
    <row r="962">
      <c r="M962" s="5"/>
    </row>
    <row r="963">
      <c r="M963" s="5"/>
    </row>
    <row r="964">
      <c r="M964" s="5"/>
    </row>
    <row r="965">
      <c r="M965" s="5"/>
    </row>
    <row r="966">
      <c r="M966" s="5"/>
    </row>
    <row r="967">
      <c r="M967" s="5"/>
    </row>
    <row r="968">
      <c r="M968" s="5"/>
    </row>
    <row r="969">
      <c r="M969" s="5"/>
    </row>
    <row r="970">
      <c r="M970" s="5"/>
    </row>
    <row r="971">
      <c r="M971" s="5"/>
    </row>
    <row r="972">
      <c r="M972" s="5"/>
    </row>
    <row r="973">
      <c r="M973" s="5"/>
    </row>
    <row r="974">
      <c r="M974" s="5"/>
    </row>
    <row r="975">
      <c r="M975" s="5"/>
    </row>
    <row r="976">
      <c r="M976" s="5"/>
    </row>
    <row r="977">
      <c r="M977" s="5"/>
    </row>
    <row r="978">
      <c r="M978" s="5"/>
    </row>
    <row r="979">
      <c r="M979" s="5"/>
    </row>
    <row r="980">
      <c r="M980" s="5"/>
    </row>
    <row r="981">
      <c r="M981" s="5"/>
    </row>
    <row r="982">
      <c r="M982" s="5"/>
    </row>
    <row r="983">
      <c r="M983" s="5"/>
    </row>
    <row r="984">
      <c r="M984" s="5"/>
    </row>
    <row r="985">
      <c r="M985" s="5"/>
    </row>
    <row r="986">
      <c r="M986" s="5"/>
    </row>
    <row r="987">
      <c r="M987" s="5"/>
    </row>
    <row r="988">
      <c r="M988" s="5"/>
    </row>
    <row r="989">
      <c r="M989" s="5"/>
    </row>
    <row r="990">
      <c r="M990" s="5"/>
    </row>
    <row r="991">
      <c r="M991" s="5"/>
    </row>
    <row r="992">
      <c r="M992" s="5"/>
    </row>
    <row r="993">
      <c r="M993" s="5"/>
    </row>
    <row r="994">
      <c r="M994" s="5"/>
    </row>
    <row r="995">
      <c r="M995" s="5"/>
    </row>
    <row r="996">
      <c r="M996" s="5"/>
    </row>
    <row r="997">
      <c r="M997" s="5"/>
    </row>
    <row r="998">
      <c r="M998" s="5"/>
    </row>
    <row r="999">
      <c r="M999" s="5"/>
    </row>
    <row r="1000">
      <c r="M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8.5"/>
    <col customWidth="1" min="3" max="3" width="20.5"/>
  </cols>
  <sheetData>
    <row r="1">
      <c r="A1" s="1" t="s">
        <v>2</v>
      </c>
      <c r="B1" s="1" t="s">
        <v>5</v>
      </c>
      <c r="C1" s="1" t="s">
        <v>6</v>
      </c>
    </row>
    <row r="2">
      <c r="A2" s="1">
        <v>1.0</v>
      </c>
      <c r="B2" s="4">
        <f>COUNTIF(Transactions!$C$2:$C$548,A2)</f>
        <v>9</v>
      </c>
      <c r="C2" s="4">
        <f>IFERROR(__xludf.DUMMYFUNCTION("COUNTUNIQUE(FILTER(Transactions!$M$2:$M$548,Transactions!$C$2:$C$548=A2))"),7.0)</f>
        <v>7</v>
      </c>
    </row>
    <row r="3">
      <c r="A3" s="1">
        <v>2.0</v>
      </c>
      <c r="B3" s="4">
        <f>COUNTIF(Transactions!$C$2:$C$548,A3)</f>
        <v>10</v>
      </c>
      <c r="C3" s="4">
        <f>IFERROR(__xludf.DUMMYFUNCTION("COUNTUNIQUE(FILTER(Transactions!$M$2:$M$548,Transactions!$C$2:$C$548=A3))"),9.0)</f>
        <v>9</v>
      </c>
    </row>
    <row r="4">
      <c r="A4" s="1">
        <v>3.0</v>
      </c>
      <c r="B4" s="4">
        <f>COUNTIF(Transactions!$C$2:$C$548,A4)</f>
        <v>17</v>
      </c>
      <c r="C4" s="4">
        <f>IFERROR(__xludf.DUMMYFUNCTION("COUNTUNIQUE(FILTER(Transactions!$M$2:$M$548,Transactions!$C$2:$C$548=A4))"),13.0)</f>
        <v>13</v>
      </c>
    </row>
    <row r="5">
      <c r="A5" s="1">
        <v>4.0</v>
      </c>
      <c r="B5" s="4">
        <f>COUNTIF(Transactions!$C$2:$C$548,A5)</f>
        <v>9</v>
      </c>
      <c r="C5" s="4">
        <f>IFERROR(__xludf.DUMMYFUNCTION("COUNTUNIQUE(FILTER(Transactions!$M$2:$M$548,Transactions!$C$2:$C$548=A5))"),7.0)</f>
        <v>7</v>
      </c>
    </row>
    <row r="6">
      <c r="A6" s="1">
        <v>5.0</v>
      </c>
      <c r="B6" s="4">
        <f>COUNTIF(Transactions!$C$2:$C$548,A6)</f>
        <v>11</v>
      </c>
      <c r="C6" s="4">
        <f>IFERROR(__xludf.DUMMYFUNCTION("COUNTUNIQUE(FILTER(Transactions!$M$2:$M$548,Transactions!$C$2:$C$548=A6))"),9.0)</f>
        <v>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s">
        <v>3</v>
      </c>
    </row>
    <row r="4">
      <c r="A4" s="1" t="s">
        <v>4</v>
      </c>
    </row>
    <row r="6">
      <c r="A6" s="1" t="s">
        <v>7</v>
      </c>
    </row>
    <row r="7">
      <c r="A7" s="1" t="s">
        <v>9</v>
      </c>
    </row>
    <row r="9">
      <c r="A9" s="1" t="s">
        <v>10</v>
      </c>
    </row>
    <row r="10">
      <c r="A10" s="1" t="s">
        <v>13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</cols>
  <sheetData>
    <row r="1">
      <c r="A1" s="1" t="s">
        <v>43</v>
      </c>
      <c r="B1" s="6" t="s">
        <v>35</v>
      </c>
      <c r="C1" s="1" t="s">
        <v>26</v>
      </c>
      <c r="D1" s="1" t="s">
        <v>46</v>
      </c>
      <c r="E1" s="1" t="s">
        <v>47</v>
      </c>
    </row>
    <row r="2">
      <c r="A2" s="1" t="s">
        <v>48</v>
      </c>
      <c r="B2" s="7">
        <v>0.0</v>
      </c>
      <c r="C2" s="7">
        <v>0.005</v>
      </c>
      <c r="D2" s="7">
        <v>0.01</v>
      </c>
      <c r="E2" s="7">
        <v>0.015</v>
      </c>
    </row>
    <row r="4">
      <c r="A4" s="1" t="s">
        <v>50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17</v>
      </c>
      <c r="C1" s="1" t="s">
        <v>18</v>
      </c>
      <c r="D1" s="1" t="s">
        <v>19</v>
      </c>
    </row>
    <row r="2">
      <c r="A2" s="1">
        <v>1.0</v>
      </c>
      <c r="B2" s="1" t="s">
        <v>150</v>
      </c>
      <c r="C2" s="1" t="s">
        <v>151</v>
      </c>
      <c r="D2" s="1" t="s">
        <v>152</v>
      </c>
    </row>
    <row r="3">
      <c r="A3" s="1">
        <v>2.0</v>
      </c>
      <c r="B3" s="1" t="s">
        <v>154</v>
      </c>
      <c r="C3" s="1" t="s">
        <v>155</v>
      </c>
      <c r="D3" s="1" t="s">
        <v>156</v>
      </c>
    </row>
    <row r="4">
      <c r="A4" s="1">
        <v>3.0</v>
      </c>
      <c r="B4" s="1" t="s">
        <v>158</v>
      </c>
      <c r="C4" s="1" t="s">
        <v>155</v>
      </c>
      <c r="D4" s="1" t="s">
        <v>159</v>
      </c>
    </row>
    <row r="5">
      <c r="A5" s="1">
        <v>4.0</v>
      </c>
      <c r="B5" s="1" t="s">
        <v>161</v>
      </c>
      <c r="C5" s="1" t="s">
        <v>151</v>
      </c>
      <c r="D5" s="1" t="s">
        <v>159</v>
      </c>
    </row>
    <row r="6">
      <c r="A6" s="1">
        <v>5.0</v>
      </c>
      <c r="B6" s="1" t="s">
        <v>164</v>
      </c>
      <c r="C6" s="1" t="s">
        <v>165</v>
      </c>
      <c r="D6" s="1" t="s">
        <v>152</v>
      </c>
    </row>
    <row r="7">
      <c r="A7" s="1">
        <v>6.0</v>
      </c>
      <c r="B7" s="1" t="s">
        <v>167</v>
      </c>
      <c r="C7" s="1" t="s">
        <v>168</v>
      </c>
      <c r="D7" s="1" t="s">
        <v>152</v>
      </c>
    </row>
    <row r="8">
      <c r="A8" s="1">
        <v>7.0</v>
      </c>
      <c r="B8" s="1" t="s">
        <v>170</v>
      </c>
      <c r="C8" s="1" t="s">
        <v>168</v>
      </c>
      <c r="D8" s="1" t="s">
        <v>159</v>
      </c>
    </row>
    <row r="9">
      <c r="A9" s="1">
        <v>8.0</v>
      </c>
      <c r="B9" s="1" t="s">
        <v>171</v>
      </c>
      <c r="C9" s="1" t="s">
        <v>168</v>
      </c>
      <c r="D9" s="1" t="s">
        <v>173</v>
      </c>
    </row>
    <row r="10">
      <c r="A10" s="1">
        <v>9.0</v>
      </c>
      <c r="B10" s="1" t="s">
        <v>175</v>
      </c>
      <c r="C10" s="1" t="s">
        <v>151</v>
      </c>
      <c r="D10" s="1" t="s">
        <v>173</v>
      </c>
    </row>
    <row r="11">
      <c r="A11" s="1">
        <v>10.0</v>
      </c>
      <c r="B11" s="1" t="s">
        <v>177</v>
      </c>
      <c r="C11" s="1" t="s">
        <v>155</v>
      </c>
      <c r="D11" s="1" t="s">
        <v>156</v>
      </c>
    </row>
    <row r="12">
      <c r="A12" s="1">
        <v>11.0</v>
      </c>
      <c r="B12" s="1" t="s">
        <v>179</v>
      </c>
      <c r="C12" s="1" t="s">
        <v>151</v>
      </c>
      <c r="D12" s="1" t="s">
        <v>173</v>
      </c>
    </row>
    <row r="13">
      <c r="A13" s="1">
        <v>12.0</v>
      </c>
      <c r="B13" s="1" t="s">
        <v>181</v>
      </c>
      <c r="C13" s="1" t="s">
        <v>151</v>
      </c>
      <c r="D13" s="1" t="s">
        <v>159</v>
      </c>
    </row>
    <row r="14">
      <c r="A14" s="1">
        <v>13.0</v>
      </c>
      <c r="B14" s="1" t="s">
        <v>184</v>
      </c>
      <c r="C14" s="1" t="s">
        <v>185</v>
      </c>
      <c r="D14" s="1" t="s">
        <v>159</v>
      </c>
    </row>
    <row r="15">
      <c r="A15" s="1">
        <v>14.0</v>
      </c>
      <c r="B15" s="1" t="s">
        <v>187</v>
      </c>
      <c r="C15" s="1" t="s">
        <v>155</v>
      </c>
      <c r="D15" s="1" t="s">
        <v>159</v>
      </c>
    </row>
    <row r="16">
      <c r="A16" s="1">
        <v>15.0</v>
      </c>
      <c r="B16" s="1" t="s">
        <v>190</v>
      </c>
      <c r="C16" s="1" t="s">
        <v>185</v>
      </c>
      <c r="D16" s="1" t="s">
        <v>173</v>
      </c>
    </row>
    <row r="17">
      <c r="A17" s="1">
        <v>16.0</v>
      </c>
      <c r="B17" s="1" t="s">
        <v>192</v>
      </c>
      <c r="C17" s="1" t="s">
        <v>194</v>
      </c>
      <c r="D17" s="1" t="s">
        <v>156</v>
      </c>
    </row>
    <row r="18">
      <c r="A18" s="1">
        <v>17.0</v>
      </c>
      <c r="B18" s="1" t="s">
        <v>195</v>
      </c>
      <c r="C18" s="1" t="s">
        <v>155</v>
      </c>
      <c r="D18" s="1" t="s">
        <v>173</v>
      </c>
    </row>
    <row r="19">
      <c r="A19" s="1">
        <v>18.0</v>
      </c>
      <c r="B19" s="1" t="s">
        <v>197</v>
      </c>
      <c r="C19" s="1" t="s">
        <v>155</v>
      </c>
      <c r="D19" s="1" t="s">
        <v>156</v>
      </c>
    </row>
    <row r="20">
      <c r="A20" s="1">
        <v>19.0</v>
      </c>
      <c r="B20" s="1" t="s">
        <v>199</v>
      </c>
      <c r="C20" s="1" t="s">
        <v>155</v>
      </c>
      <c r="D20" s="1" t="s">
        <v>173</v>
      </c>
    </row>
    <row r="21">
      <c r="A21" s="1">
        <v>20.0</v>
      </c>
      <c r="B21" s="1" t="s">
        <v>201</v>
      </c>
      <c r="C21" s="1" t="s">
        <v>168</v>
      </c>
      <c r="D21" s="1" t="s">
        <v>159</v>
      </c>
    </row>
    <row r="22">
      <c r="A22" s="1">
        <v>21.0</v>
      </c>
      <c r="B22" s="1" t="s">
        <v>203</v>
      </c>
      <c r="C22" s="1" t="s">
        <v>168</v>
      </c>
      <c r="D22" s="1" t="s">
        <v>159</v>
      </c>
    </row>
    <row r="23">
      <c r="A23" s="1">
        <v>22.0</v>
      </c>
      <c r="B23" s="1" t="s">
        <v>205</v>
      </c>
      <c r="C23" s="1" t="s">
        <v>185</v>
      </c>
      <c r="D23" s="1" t="s">
        <v>152</v>
      </c>
    </row>
    <row r="24">
      <c r="A24" s="1">
        <v>23.0</v>
      </c>
      <c r="B24" s="1" t="s">
        <v>207</v>
      </c>
      <c r="C24" s="1" t="s">
        <v>185</v>
      </c>
      <c r="D24" s="1" t="s">
        <v>173</v>
      </c>
    </row>
    <row r="25">
      <c r="A25" s="1">
        <v>24.0</v>
      </c>
      <c r="B25" s="1" t="s">
        <v>209</v>
      </c>
      <c r="C25" s="1" t="s">
        <v>155</v>
      </c>
      <c r="D25" s="1" t="s">
        <v>173</v>
      </c>
    </row>
    <row r="26">
      <c r="A26" s="1">
        <v>25.0</v>
      </c>
      <c r="B26" s="1" t="s">
        <v>211</v>
      </c>
      <c r="C26" s="1" t="s">
        <v>185</v>
      </c>
      <c r="D26" s="1" t="s">
        <v>152</v>
      </c>
    </row>
    <row r="27">
      <c r="A27" s="1">
        <v>26.0</v>
      </c>
      <c r="B27" s="1" t="s">
        <v>213</v>
      </c>
      <c r="C27" s="1" t="s">
        <v>168</v>
      </c>
      <c r="D27" s="1" t="s">
        <v>159</v>
      </c>
    </row>
    <row r="28">
      <c r="A28" s="1">
        <v>27.0</v>
      </c>
      <c r="B28" s="1" t="s">
        <v>214</v>
      </c>
      <c r="C28" s="1" t="s">
        <v>151</v>
      </c>
      <c r="D28" s="1" t="s">
        <v>173</v>
      </c>
    </row>
    <row r="29">
      <c r="A29" s="1">
        <v>28.0</v>
      </c>
      <c r="B29" s="1" t="s">
        <v>216</v>
      </c>
      <c r="C29" s="1" t="s">
        <v>151</v>
      </c>
      <c r="D29" s="1" t="s">
        <v>152</v>
      </c>
    </row>
    <row r="30">
      <c r="A30" s="1">
        <v>29.0</v>
      </c>
      <c r="B30" s="1" t="s">
        <v>218</v>
      </c>
      <c r="C30" s="1" t="s">
        <v>151</v>
      </c>
      <c r="D30" s="1" t="s">
        <v>173</v>
      </c>
    </row>
    <row r="31">
      <c r="A31" s="1">
        <v>30.0</v>
      </c>
      <c r="B31" s="1" t="s">
        <v>220</v>
      </c>
      <c r="C31" s="1" t="s">
        <v>185</v>
      </c>
      <c r="D31" s="1" t="s">
        <v>156</v>
      </c>
    </row>
    <row r="32">
      <c r="A32" s="1">
        <v>31.0</v>
      </c>
      <c r="B32" s="1" t="s">
        <v>222</v>
      </c>
      <c r="C32" s="1" t="s">
        <v>194</v>
      </c>
      <c r="D32" s="1" t="s">
        <v>159</v>
      </c>
    </row>
    <row r="33">
      <c r="A33" s="1">
        <v>32.0</v>
      </c>
      <c r="B33" s="1" t="s">
        <v>225</v>
      </c>
      <c r="C33" s="1" t="s">
        <v>168</v>
      </c>
      <c r="D33" s="1" t="s">
        <v>156</v>
      </c>
    </row>
    <row r="34">
      <c r="A34" s="1">
        <v>33.0</v>
      </c>
      <c r="B34" s="1" t="s">
        <v>227</v>
      </c>
      <c r="C34" s="1" t="s">
        <v>194</v>
      </c>
      <c r="D34" s="1" t="s">
        <v>159</v>
      </c>
    </row>
    <row r="35">
      <c r="A35" s="1">
        <v>34.0</v>
      </c>
      <c r="B35" s="1" t="s">
        <v>228</v>
      </c>
      <c r="C35" s="1" t="s">
        <v>185</v>
      </c>
      <c r="D35" s="1" t="s">
        <v>152</v>
      </c>
    </row>
    <row r="36">
      <c r="A36" s="1">
        <v>35.0</v>
      </c>
      <c r="B36" s="1" t="s">
        <v>230</v>
      </c>
      <c r="C36" s="1" t="s">
        <v>165</v>
      </c>
      <c r="D36" s="1" t="s">
        <v>159</v>
      </c>
    </row>
    <row r="37">
      <c r="A37" s="1">
        <v>36.0</v>
      </c>
      <c r="B37" s="1" t="s">
        <v>232</v>
      </c>
      <c r="C37" s="1" t="s">
        <v>233</v>
      </c>
      <c r="D37" s="1" t="s">
        <v>159</v>
      </c>
    </row>
    <row r="38">
      <c r="A38" s="1">
        <v>37.0</v>
      </c>
      <c r="B38" s="1" t="s">
        <v>236</v>
      </c>
      <c r="C38" s="1" t="s">
        <v>233</v>
      </c>
      <c r="D38" s="1" t="s">
        <v>152</v>
      </c>
    </row>
    <row r="39">
      <c r="A39" s="1">
        <v>38.0</v>
      </c>
      <c r="B39" s="1" t="s">
        <v>238</v>
      </c>
      <c r="C39" s="1" t="s">
        <v>155</v>
      </c>
      <c r="D39" s="1" t="s">
        <v>159</v>
      </c>
    </row>
    <row r="40">
      <c r="A40" s="1">
        <v>39.0</v>
      </c>
      <c r="B40" s="1" t="s">
        <v>240</v>
      </c>
      <c r="C40" s="1" t="s">
        <v>233</v>
      </c>
      <c r="D40" s="1" t="s">
        <v>173</v>
      </c>
    </row>
    <row r="41">
      <c r="A41" s="1">
        <v>40.0</v>
      </c>
      <c r="B41" s="1" t="s">
        <v>242</v>
      </c>
      <c r="C41" s="1" t="s">
        <v>233</v>
      </c>
      <c r="D41" s="1" t="s">
        <v>152</v>
      </c>
    </row>
  </sheetData>
  <drawing r:id="rId1"/>
</worksheet>
</file>